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ind\OneDrive\Desktop\L&amp;T\Cashflow\"/>
    </mc:Choice>
  </mc:AlternateContent>
  <xr:revisionPtr revIDLastSave="0" documentId="13_ncr:1_{AAEB2C49-4D86-421E-A465-59477A972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 for CF" sheetId="18" r:id="rId1"/>
    <sheet name="Cashflow" sheetId="19" r:id="rId2"/>
  </sheets>
  <definedNames>
    <definedName name="\" hidden="1">{#N/A,#N/A,FALSE,"MODULE3"}</definedName>
    <definedName name="\\aa">#REF!</definedName>
    <definedName name="\\zzzz">#REF!</definedName>
    <definedName name="\0">#REF!</definedName>
    <definedName name="\1">#N/A</definedName>
    <definedName name="\3">#REF!</definedName>
    <definedName name="\4">#REF!</definedName>
    <definedName name="\A">#REF!</definedName>
    <definedName name="\a1">#REF!</definedName>
    <definedName name="\aa">#REF!</definedName>
    <definedName name="\B">#REF!</definedName>
    <definedName name="\C">#REF!</definedName>
    <definedName name="\c1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#N/A</definedName>
    <definedName name="\U">#REF!</definedName>
    <definedName name="\V">#REF!</definedName>
    <definedName name="\x">#REF!</definedName>
    <definedName name="\z">#REF!</definedName>
    <definedName name="_">"tcap"</definedName>
    <definedName name="__________" hidden="1">#REF!</definedName>
    <definedName name="_____________" hidden="1">#REF!</definedName>
    <definedName name="__________________" hidden="1">#REF!</definedName>
    <definedName name="_____________________________" hidden="1">#REF!</definedName>
    <definedName name="______________________________________________________________Xl1">#REF!</definedName>
    <definedName name="_____________________________________________________________Xl1">#REF!</definedName>
    <definedName name="____________________________________________________________Xl1">#REF!</definedName>
    <definedName name="__________________________________________________________Xl1">#REF!</definedName>
    <definedName name="_________________________________________________________Xl1">#REF!</definedName>
    <definedName name="________________________________________________________Xl1">#REF!</definedName>
    <definedName name="_______________________________________________________Xl1">#REF!</definedName>
    <definedName name="____________________________________________________Xl1">#REF!</definedName>
    <definedName name="__________________________________________________Xl1">#REF!</definedName>
    <definedName name="_________________________________________________Xl1">#REF!</definedName>
    <definedName name="________________________________________________Xl1">#REF!</definedName>
    <definedName name="_______________________________________________Xl1">#REF!</definedName>
    <definedName name="______________________________________________Xl1">#REF!</definedName>
    <definedName name="_____________________________________________Xl1">#REF!</definedName>
    <definedName name="____________________________________________Xl1">#REF!</definedName>
    <definedName name="___________________________________________Xl1">#REF!</definedName>
    <definedName name="__________________________________________b111121">#REF!</definedName>
    <definedName name="__________________________________________Xl1">#REF!</definedName>
    <definedName name="_________________________________________b111121">#REF!</definedName>
    <definedName name="_________________________________________Xl1">#REF!</definedName>
    <definedName name="________________________________________b111121">#REF!</definedName>
    <definedName name="________________________________________Xl1">#REF!</definedName>
    <definedName name="_______________________________________Xl1">#REF!</definedName>
    <definedName name="______________________________________aba2">#REF!</definedName>
    <definedName name="______________________________________b111121">#REF!</definedName>
    <definedName name="______________________________________bom1">#REF!</definedName>
    <definedName name="______________________________________CFB1">#REF!</definedName>
    <definedName name="______________________________________CFB2">#REF!</definedName>
    <definedName name="______________________________________CFB3">#REF!</definedName>
    <definedName name="______________________________________DAT1">#REF!</definedName>
    <definedName name="______________________________________DAT10">#REF!</definedName>
    <definedName name="______________________________________DAT11">#REF!</definedName>
    <definedName name="______________________________________DAT12">#REF!</definedName>
    <definedName name="______________________________________DAT13">#REF!</definedName>
    <definedName name="______________________________________DAT14">#REF!</definedName>
    <definedName name="______________________________________DAT15">#REF!</definedName>
    <definedName name="______________________________________DAT16">#REF!</definedName>
    <definedName name="______________________________________DAT2">#REF!</definedName>
    <definedName name="______________________________________DAT3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_DAT7">#REF!</definedName>
    <definedName name="______________________________________DAT8">#REF!</definedName>
    <definedName name="______________________________________DAT9">#REF!</definedName>
    <definedName name="______________________________________DET1">#REF!</definedName>
    <definedName name="______________________________________DET2">#REF!</definedName>
    <definedName name="______________________________________DET3">#REF!</definedName>
    <definedName name="______________________________________DET4">#REF!</definedName>
    <definedName name="______________________________________DET5">#REF!</definedName>
    <definedName name="______________________________________DET6">#REF!</definedName>
    <definedName name="______________________________________drg1">#REF!</definedName>
    <definedName name="______________________________________drg2">#REF!</definedName>
    <definedName name="______________________________________out2">#REF!</definedName>
    <definedName name="______________________________________pep99">#REF!</definedName>
    <definedName name="______________________________________sch2">#REF!</definedName>
    <definedName name="______________________________________sch9">#REF!</definedName>
    <definedName name="______________________________________SS402">#REF!</definedName>
    <definedName name="______________________________________SS403">#REF!</definedName>
    <definedName name="______________________________________SS404">#REF!</definedName>
    <definedName name="______________________________________SS405">#REF!</definedName>
    <definedName name="______________________________________SS406">#REF!</definedName>
    <definedName name="______________________________________SS407">#REF!</definedName>
    <definedName name="______________________________________SS408">#REF!</definedName>
    <definedName name="______________________________________SS409">#REF!</definedName>
    <definedName name="______________________________________SS423">#REF!</definedName>
    <definedName name="______________________________________SS424">#REF!</definedName>
    <definedName name="_____________________________________Xl1">#REF!</definedName>
    <definedName name="____________________________________aba2">#REF!</definedName>
    <definedName name="____________________________________b111121">#REF!</definedName>
    <definedName name="____________________________________bom1">#REF!</definedName>
    <definedName name="____________________________________CFB1">#REF!</definedName>
    <definedName name="____________________________________CFB2">#REF!</definedName>
    <definedName name="____________________________________CFB3">#REF!</definedName>
    <definedName name="____________________________________DAT1">#REF!</definedName>
    <definedName name="____________________________________DAT10">#REF!</definedName>
    <definedName name="____________________________________DAT11">#REF!</definedName>
    <definedName name="____________________________________DAT12">#REF!</definedName>
    <definedName name="____________________________________DAT13">#REF!</definedName>
    <definedName name="____________________________________DAT14">#REF!</definedName>
    <definedName name="____________________________________DAT15">#REF!</definedName>
    <definedName name="____________________________________DAT16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DET1">#REF!</definedName>
    <definedName name="____________________________________DET2">#REF!</definedName>
    <definedName name="____________________________________DET3">#REF!</definedName>
    <definedName name="____________________________________DET4">#REF!</definedName>
    <definedName name="____________________________________DET5">#REF!</definedName>
    <definedName name="____________________________________DET6">#REF!</definedName>
    <definedName name="____________________________________drg1">#REF!</definedName>
    <definedName name="____________________________________drg2">#REF!</definedName>
    <definedName name="____________________________________out2">#REF!</definedName>
    <definedName name="____________________________________pep99">#REF!</definedName>
    <definedName name="____________________________________sch2">#REF!</definedName>
    <definedName name="____________________________________sch9">#REF!</definedName>
    <definedName name="____________________________________SS402">#REF!</definedName>
    <definedName name="____________________________________SS403">#REF!</definedName>
    <definedName name="____________________________________SS404">#REF!</definedName>
    <definedName name="____________________________________SS405">#REF!</definedName>
    <definedName name="____________________________________SS406">#REF!</definedName>
    <definedName name="____________________________________SS407">#REF!</definedName>
    <definedName name="____________________________________SS408">#REF!</definedName>
    <definedName name="____________________________________SS409">#REF!</definedName>
    <definedName name="____________________________________SS423">#REF!</definedName>
    <definedName name="____________________________________SS424">#REF!</definedName>
    <definedName name="____________________________________Xl1">#REF!</definedName>
    <definedName name="___________________________________aba2">#REF!</definedName>
    <definedName name="___________________________________b111121">#REF!</definedName>
    <definedName name="___________________________________bom1">#REF!</definedName>
    <definedName name="___________________________________CFB1">#REF!</definedName>
    <definedName name="___________________________________CFB2">#REF!</definedName>
    <definedName name="___________________________________CFB3">#REF!</definedName>
    <definedName name="___________________________________DAT1">#REF!</definedName>
    <definedName name="___________________________________DAT10">#REF!</definedName>
    <definedName name="___________________________________DAT11">#REF!</definedName>
    <definedName name="___________________________________DAT12">#REF!</definedName>
    <definedName name="___________________________________DAT13">#REF!</definedName>
    <definedName name="___________________________________DAT14">#REF!</definedName>
    <definedName name="___________________________________DAT15">#REF!</definedName>
    <definedName name="___________________________________DAT16">#REF!</definedName>
    <definedName name="___________________________________DAT2">#REF!</definedName>
    <definedName name="___________________________________DAT3">#REF!</definedName>
    <definedName name="___________________________________DAT4">#REF!</definedName>
    <definedName name="___________________________________DAT5">#REF!</definedName>
    <definedName name="___________________________________DAT6">#REF!</definedName>
    <definedName name="___________________________________DAT7">#REF!</definedName>
    <definedName name="___________________________________DAT8">#REF!</definedName>
    <definedName name="___________________________________DAT9">#REF!</definedName>
    <definedName name="___________________________________DET1">#REF!</definedName>
    <definedName name="___________________________________DET2">#REF!</definedName>
    <definedName name="___________________________________DET3">#REF!</definedName>
    <definedName name="___________________________________DET4">#REF!</definedName>
    <definedName name="___________________________________DET5">#REF!</definedName>
    <definedName name="___________________________________DET6">#REF!</definedName>
    <definedName name="___________________________________drg1">#REF!</definedName>
    <definedName name="___________________________________drg2">#REF!</definedName>
    <definedName name="___________________________________Ki1">#REF!</definedName>
    <definedName name="___________________________________Ki2">#REF!</definedName>
    <definedName name="___________________________________out2">#REF!</definedName>
    <definedName name="___________________________________pep99">#REF!</definedName>
    <definedName name="___________________________________Re1">#REF!</definedName>
    <definedName name="___________________________________Rs1">#REF!</definedName>
    <definedName name="___________________________________sch2">#REF!</definedName>
    <definedName name="___________________________________sch9">#REF!</definedName>
    <definedName name="___________________________________SS402">#REF!</definedName>
    <definedName name="___________________________________SS403">#REF!</definedName>
    <definedName name="___________________________________SS404">#REF!</definedName>
    <definedName name="___________________________________SS405">#REF!</definedName>
    <definedName name="___________________________________SS406">#REF!</definedName>
    <definedName name="___________________________________SS407">#REF!</definedName>
    <definedName name="___________________________________SS408">#REF!</definedName>
    <definedName name="___________________________________SS409">#REF!</definedName>
    <definedName name="___________________________________SS423">#REF!</definedName>
    <definedName name="___________________________________SS424">#REF!</definedName>
    <definedName name="___________________________________Xl1">#REF!</definedName>
    <definedName name="__________________________________b111121">#REF!</definedName>
    <definedName name="__________________________________Ki1">#REF!</definedName>
    <definedName name="__________________________________Ki2">#REF!</definedName>
    <definedName name="__________________________________Re1">#REF!</definedName>
    <definedName name="__________________________________Rl1">#REF!</definedName>
    <definedName name="__________________________________Rs1">#REF!</definedName>
    <definedName name="__________________________________Tk1">#REF!</definedName>
    <definedName name="__________________________________Tkl1">#REF!</definedName>
    <definedName name="__________________________________wp1">#REF!</definedName>
    <definedName name="__________________________________Xl1">#REF!</definedName>
    <definedName name="_________________________________a1">#REF!</definedName>
    <definedName name="_________________________________b111121">#REF!</definedName>
    <definedName name="_________________________________del1">#REF!</definedName>
    <definedName name="_________________________________Ki1">#REF!</definedName>
    <definedName name="_________________________________Ki2">#REF!</definedName>
    <definedName name="_________________________________Re1">#REF!</definedName>
    <definedName name="_________________________________Rl1">#REF!</definedName>
    <definedName name="_________________________________Rs1">#REF!</definedName>
    <definedName name="_________________________________Tk1">#REF!</definedName>
    <definedName name="_________________________________Tkl1">#REF!</definedName>
    <definedName name="_________________________________wp1">#REF!</definedName>
    <definedName name="_________________________________Xl1">#REF!</definedName>
    <definedName name="________________________________a1">#REF!</definedName>
    <definedName name="________________________________CAN2">#N/A</definedName>
    <definedName name="________________________________CAN9">#N/A</definedName>
    <definedName name="________________________________del1">#REF!</definedName>
    <definedName name="________________________________INT1">#REF!</definedName>
    <definedName name="________________________________Ki1">#REF!</definedName>
    <definedName name="________________________________Ki2">#REF!</definedName>
    <definedName name="________________________________new1">#REF!</definedName>
    <definedName name="________________________________OPT8">#N/A</definedName>
    <definedName name="________________________________OPT9">#N/A</definedName>
    <definedName name="________________________________Re1">#REF!</definedName>
    <definedName name="________________________________Rl1">#REF!</definedName>
    <definedName name="________________________________Rs1">#REF!</definedName>
    <definedName name="________________________________Tk1">#REF!</definedName>
    <definedName name="________________________________Tkl1">#REF!</definedName>
    <definedName name="________________________________wp1">#REF!</definedName>
    <definedName name="________________________________Xl1">#REF!</definedName>
    <definedName name="_______________________________a1">#REF!</definedName>
    <definedName name="_______________________________a5">#N/A</definedName>
    <definedName name="_______________________________a6">#N/A</definedName>
    <definedName name="_______________________________AHP1">#REF!</definedName>
    <definedName name="_______________________________b111121">#REF!</definedName>
    <definedName name="_______________________________del1">#REF!</definedName>
    <definedName name="_______________________________INT1">#REF!</definedName>
    <definedName name="_______________________________Ki1">#REF!</definedName>
    <definedName name="_______________________________Ki2">#REF!</definedName>
    <definedName name="_______________________________new1">#REF!</definedName>
    <definedName name="_______________________________Re1">#REF!</definedName>
    <definedName name="_______________________________Rl1">#REF!</definedName>
    <definedName name="_______________________________Rs1">#REF!</definedName>
    <definedName name="_______________________________Tk1">#REF!</definedName>
    <definedName name="_______________________________Tkl1">#REF!</definedName>
    <definedName name="_______________________________wp1">#REF!</definedName>
    <definedName name="_______________________________Xl1">#REF!</definedName>
    <definedName name="______________________________a1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del1">#REF!</definedName>
    <definedName name="______________________________INT1">#REF!</definedName>
    <definedName name="______________________________Ki1">#REF!</definedName>
    <definedName name="______________________________Ki2">#REF!</definedName>
    <definedName name="______________________________new1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a1">#REF!</definedName>
    <definedName name="_____________________________a5">#N/A</definedName>
    <definedName name="_____________________________a6">#N/A</definedName>
    <definedName name="_____________________________AHP1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del1">#REF!</definedName>
    <definedName name="_____________________________INT1">#REF!</definedName>
    <definedName name="_____________________________Ki1">#REF!</definedName>
    <definedName name="_____________________________Ki2">#REF!</definedName>
    <definedName name="_____________________________new1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Vf1">#N/A</definedName>
    <definedName name="_____________________________Vf2">#N/A</definedName>
    <definedName name="_____________________________wp1">#REF!</definedName>
    <definedName name="_____________________________Xl1">#REF!</definedName>
    <definedName name="____________________________a1">#REF!</definedName>
    <definedName name="____________________________a5">#N/A</definedName>
    <definedName name="____________________________a6">#N/A</definedName>
    <definedName name="____________________________aba2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bom1">#REF!</definedName>
    <definedName name="____________________________CFB1">#REF!</definedName>
    <definedName name="____________________________CFB2">#REF!</definedName>
    <definedName name="____________________________CFB3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2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del1">#REF!</definedName>
    <definedName name="____________________________DET1">#REF!</definedName>
    <definedName name="____________________________DET2">#REF!</definedName>
    <definedName name="____________________________DET3">#REF!</definedName>
    <definedName name="____________________________DET4">#REF!</definedName>
    <definedName name="____________________________DET5">#REF!</definedName>
    <definedName name="____________________________DET6">#REF!</definedName>
    <definedName name="____________________________drg1">#REF!</definedName>
    <definedName name="____________________________drg2">#REF!</definedName>
    <definedName name="____________________________hfi3">#REF!</definedName>
    <definedName name="____________________________INT1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ut2">#REF!</definedName>
    <definedName name="____________________________pep99">#REF!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sch2">#REF!</definedName>
    <definedName name="____________________________sch9">#REF!</definedName>
    <definedName name="____________________________SS402">#REF!</definedName>
    <definedName name="____________________________SS403">#REF!</definedName>
    <definedName name="____________________________SS404">#REF!</definedName>
    <definedName name="____________________________SS405">#REF!</definedName>
    <definedName name="____________________________SS406">#REF!</definedName>
    <definedName name="____________________________SS407">#REF!</definedName>
    <definedName name="____________________________SS408">#REF!</definedName>
    <definedName name="____________________________SS409">#REF!</definedName>
    <definedName name="____________________________SS423">#REF!</definedName>
    <definedName name="____________________________SS424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Vf1">#N/A</definedName>
    <definedName name="____________________________Vf2">#N/A</definedName>
    <definedName name="____________________________wp1">#REF!</definedName>
    <definedName name="____________________________Xl1">#REF!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rg1">#REF!</definedName>
    <definedName name="___________________________drg2">#REF!</definedName>
    <definedName name="___________________________hfi1">#REF!</definedName>
    <definedName name="___________________________hfi3">#REF!</definedName>
    <definedName name="___________________________INT1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Vf1">#N/A</definedName>
    <definedName name="___________________________Vf2">#N/A</definedName>
    <definedName name="___________________________wp1">#REF!</definedName>
    <definedName name="___________________________Xl1">#REF!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>#REF!</definedName>
    <definedName name="__________________________bom1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INT1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ut2">#REF!</definedName>
    <definedName name="__________________________pep99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Vf1">#N/A</definedName>
    <definedName name="__________________________Vf2">#N/A</definedName>
    <definedName name="__________________________wp1">#REF!</definedName>
    <definedName name="__________________________Xl1">#REF!</definedName>
    <definedName name="_________________________a1">#REF!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axx4">#REF!</definedName>
    <definedName name="_________________________axx5">#REF!</definedName>
    <definedName name="_________________________axx6">#REF!</definedName>
    <definedName name="_________________________axx7">#REF!</definedName>
    <definedName name="_________________________axx8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rg1">#REF!</definedName>
    <definedName name="_________________________drg2">#REF!</definedName>
    <definedName name="_________________________hfi1">#REF!</definedName>
    <definedName name="_________________________hfi2">#REF!</definedName>
    <definedName name="_________________________hfi3">#REF!</definedName>
    <definedName name="_________________________hfi4">#REF!</definedName>
    <definedName name="_________________________hfi5">#REF!</definedName>
    <definedName name="_________________________hfi6">#REF!</definedName>
    <definedName name="_________________________hfi7">#REF!</definedName>
    <definedName name="_________________________hfi8">#REF!</definedName>
    <definedName name="_________________________INT1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Vf1">#N/A</definedName>
    <definedName name="_________________________Vf2">#N/A</definedName>
    <definedName name="_________________________wp1">#REF!</definedName>
    <definedName name="_________________________Xl1">#REF!</definedName>
    <definedName name="________________________a1">#REF!</definedName>
    <definedName name="________________________aba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AXX4">#REF!</definedName>
    <definedName name="________________________axx5">#REF!</definedName>
    <definedName name="________________________axx6">#REF!</definedName>
    <definedName name="________________________AXX7">#REF!</definedName>
    <definedName name="________________________axx8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rg1">#REF!</definedName>
    <definedName name="________________________drg2">#REF!</definedName>
    <definedName name="________________________hfi1">#REF!</definedName>
    <definedName name="________________________hfi2">#REF!</definedName>
    <definedName name="________________________hfi3">#REF!</definedName>
    <definedName name="________________________hfi4">#REF!</definedName>
    <definedName name="________________________hfi5">#REF!</definedName>
    <definedName name="________________________hfi6">#REF!</definedName>
    <definedName name="________________________HFI7">#REF!</definedName>
    <definedName name="________________________hfi8">#REF!</definedName>
    <definedName name="________________________INT1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Vf1">#N/A</definedName>
    <definedName name="________________________Vf2">#N/A</definedName>
    <definedName name="________________________wp1">#REF!</definedName>
    <definedName name="________________________Xl1">#REF!</definedName>
    <definedName name="_______________________a1">#REF!</definedName>
    <definedName name="_______________________aba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rg1">#REF!</definedName>
    <definedName name="_______________________drg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INT1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Vf1">#N/A</definedName>
    <definedName name="_______________________Vf2">#N/A</definedName>
    <definedName name="_______________________wp1">#REF!</definedName>
    <definedName name="_______________________Xl1">#REF!</definedName>
    <definedName name="______________________a1">#REF!</definedName>
    <definedName name="______________________a5">#N/A</definedName>
    <definedName name="______________________a6">#N/A</definedName>
    <definedName name="______________________aba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INT1">#REF!</definedName>
    <definedName name="______________________Ism3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ep99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>#REF!</definedName>
    <definedName name="______________________Tk1">#REF!</definedName>
    <definedName name="______________________Tkl1">#REF!</definedName>
    <definedName name="______________________Vf1">#N/A</definedName>
    <definedName name="______________________Vf2">#N/A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rg1">#REF!</definedName>
    <definedName name="_____________________drg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INT1">#REF!</definedName>
    <definedName name="_____________________ISO220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Re1">#REF!</definedName>
    <definedName name="_____________________Rl1">#REF!</definedName>
    <definedName name="_____________________Rs1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>#REF!</definedName>
    <definedName name="_____________________Tk1">#REF!</definedName>
    <definedName name="_____________________Tkl1">#REF!</definedName>
    <definedName name="_____________________Vf1">#N/A</definedName>
    <definedName name="_____________________Vf2">#N/A</definedName>
    <definedName name="_____________________wp1">#REF!</definedName>
    <definedName name="_____________________Xl1">#REF!</definedName>
    <definedName name="____________________a1">#REF!</definedName>
    <definedName name="____________________a5">#N/A</definedName>
    <definedName name="____________________a6">#N/A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fa1">#REF!</definedName>
    <definedName name="____________________ifa2">#REF!</definedName>
    <definedName name="____________________INT1">#REF!</definedName>
    <definedName name="____________________Ism3">#REF!</definedName>
    <definedName name="____________________ISO220">#REF!</definedName>
    <definedName name="____________________kd1">#REF!</definedName>
    <definedName name="____________________kd2">#REF!</definedName>
    <definedName name="____________________kd3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Vf1">#N/A</definedName>
    <definedName name="____________________Vf2">#N/A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a1">#REF!</definedName>
    <definedName name="___________________a5">#N/A</definedName>
    <definedName name="___________________a6">#N/A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#REF!</definedName>
    <definedName name="___________________CAN9">#REF!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ifa1">#REF!</definedName>
    <definedName name="___________________ifa2">#REF!</definedName>
    <definedName name="___________________INT1">#REF!</definedName>
    <definedName name="___________________Ism3">#REF!</definedName>
    <definedName name="___________________ISO220">#REF!</definedName>
    <definedName name="___________________kd1">#REF!</definedName>
    <definedName name="___________________kd2">#REF!</definedName>
    <definedName name="___________________kd3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OPT8">#REF!</definedName>
    <definedName name="___________________OPT9">#REF!</definedName>
    <definedName name="___________________out2">#REF!</definedName>
    <definedName name="___________________PB1">#REF!</definedName>
    <definedName name="___________________pep99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#N/A</definedName>
    <definedName name="___________________Vf2">#N/A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a1">#REF!</definedName>
    <definedName name="__________________a5">#N/A</definedName>
    <definedName name="__________________a6">#N/A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hu1">#REF!</definedName>
    <definedName name="__________________ahu2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om1">#REF!</definedName>
    <definedName name="__________________BoQ4">#REF!</definedName>
    <definedName name="__________________CAN2">#REF!</definedName>
    <definedName name="__________________CAN9">#REF!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rg1">#REF!</definedName>
    <definedName name="__________________drg2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fa1">#REF!</definedName>
    <definedName name="__________________ifa2">#REF!</definedName>
    <definedName name="__________________INT1">#REF!</definedName>
    <definedName name="__________________Ism3">#REF!</definedName>
    <definedName name="__________________ISO220">#REF!</definedName>
    <definedName name="__________________kd1">#REF!</definedName>
    <definedName name="__________________kd2">#REF!</definedName>
    <definedName name="__________________kd3">#REF!</definedName>
    <definedName name="__________________KEY3" hidden="1">#REF!</definedName>
    <definedName name="__________________Ki1">#REF!</definedName>
    <definedName name="__________________Ki2">#REF!</definedName>
    <definedName name="__________________LMH1">#REF!</definedName>
    <definedName name="__________________LMH2">#REF!</definedName>
    <definedName name="__________________MAN1">#REF!</definedName>
    <definedName name="__________________mcc1">#REF!</definedName>
    <definedName name="__________________mcc2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B220">#REF!</definedName>
    <definedName name="__________________mp1">#REF!</definedName>
    <definedName name="__________________new1">#REF!</definedName>
    <definedName name="__________________OPT8">#REF!</definedName>
    <definedName name="__________________OPT9">#REF!</definedName>
    <definedName name="__________________out2">#REF!</definedName>
    <definedName name="__________________PB1">#REF!</definedName>
    <definedName name="__________________pdp1">#REF!</definedName>
    <definedName name="__________________pdp2">#REF!</definedName>
    <definedName name="__________________pdp3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ow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#N/A</definedName>
    <definedName name="__________________Vf2">#N/A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a1">#REF!</definedName>
    <definedName name="_________________a5">#N/A</definedName>
    <definedName name="_________________a6">#N/A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om1">#REF!</definedName>
    <definedName name="_________________CAN2">#REF!</definedName>
    <definedName name="_________________CAN9">#REF!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hidden="1">{"'Sheet1'!$A$4386:$N$4591"}</definedName>
    <definedName name="_________________dec05_1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rg1">#REF!</definedName>
    <definedName name="_________________drg2">#REF!</definedName>
    <definedName name="_________________Fpi1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fa1">#REF!</definedName>
    <definedName name="_________________ifa2">#REF!</definedName>
    <definedName name="_________________INT1">#REF!</definedName>
    <definedName name="_________________Ism3">#REF!</definedName>
    <definedName name="_________________ISO220">#REF!</definedName>
    <definedName name="_________________kd1">#REF!</definedName>
    <definedName name="_________________kd2">#REF!</definedName>
    <definedName name="_________________kd3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OPT8">#REF!</definedName>
    <definedName name="_________________OPT9">#REF!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>#REF!</definedName>
    <definedName name="_________________Tk1">#REF!</definedName>
    <definedName name="_________________Tk2">#REF!</definedName>
    <definedName name="_________________Tkl1">#REF!</definedName>
    <definedName name="_________________tl1">#REF!</definedName>
    <definedName name="_________________tl2">#REF!</definedName>
    <definedName name="_________________Vf1">#N/A</definedName>
    <definedName name="_________________Vf2">#N/A</definedName>
    <definedName name="_________________vr1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a1">#REF!</definedName>
    <definedName name="________________a5">#N/A</definedName>
    <definedName name="________________a6">#N/A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hu2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hh2">#REF!</definedName>
    <definedName name="________________bom1">#REF!</definedName>
    <definedName name="________________BoQ4">#REF!</definedName>
    <definedName name="________________CAN2">#REF!</definedName>
    <definedName name="________________CAN9">#REF!</definedName>
    <definedName name="________________CCT220">#REF!</definedName>
    <definedName name="________________cdd2">#REF!</definedName>
    <definedName name="________________CFB1">#REF!</definedName>
    <definedName name="________________CFB2">#REF!</definedName>
    <definedName name="________________CFB3">#REF!</definedName>
    <definedName name="________________cff2">#REF!</definedName>
    <definedName name="________________col33">#REF!</definedName>
    <definedName name="________________cth2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rg1">#REF!</definedName>
    <definedName name="________________drg2">#REF!</definedName>
    <definedName name="________________eth2">#REF!</definedName>
    <definedName name="________________Fpi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fa1">#REF!</definedName>
    <definedName name="________________ifa2">#REF!</definedName>
    <definedName name="________________IFZ1">#REF!</definedName>
    <definedName name="________________ifz13">#REF!</definedName>
    <definedName name="________________INT1">#REF!</definedName>
    <definedName name="________________Ipn1">#REF!</definedName>
    <definedName name="________________Ipn2">#REF!</definedName>
    <definedName name="________________Ipn3">#REF!</definedName>
    <definedName name="________________Ipn5">#REF!</definedName>
    <definedName name="________________ipn6">#REF!</definedName>
    <definedName name="________________ipn7">#REF!</definedName>
    <definedName name="________________Ism3">#REF!</definedName>
    <definedName name="________________Isn1">#REF!</definedName>
    <definedName name="________________Isn2">#REF!</definedName>
    <definedName name="________________Isn22">#REF!</definedName>
    <definedName name="________________Isn3">#REF!</definedName>
    <definedName name="________________isn5">#REF!</definedName>
    <definedName name="________________ISO220">#REF!</definedName>
    <definedName name="________________kd1">#REF!</definedName>
    <definedName name="________________kd2">#REF!</definedName>
    <definedName name="________________kd3">#REF!</definedName>
    <definedName name="________________KEY3" hidden="1">#REF!</definedName>
    <definedName name="________________Ki1">#REF!</definedName>
    <definedName name="________________Ki2">#REF!</definedName>
    <definedName name="________________ktd1">#REF!</definedName>
    <definedName name="________________ktd2">#REF!</definedName>
    <definedName name="________________ktd3">#REF!</definedName>
    <definedName name="________________len2">#REF!</definedName>
    <definedName name="________________len5">#REF!</definedName>
    <definedName name="________________len7">#REF!</definedName>
    <definedName name="________________LMH1">#REF!</definedName>
    <definedName name="________________LMH2">#REF!</definedName>
    <definedName name="________________MAN1">#REF!</definedName>
    <definedName name="________________mcc1">#REF!</definedName>
    <definedName name="________________mcc2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B220">#REF!</definedName>
    <definedName name="________________mp1">#REF!</definedName>
    <definedName name="________________new1">#REF!</definedName>
    <definedName name="________________OPT8">#REF!</definedName>
    <definedName name="________________OPT9">#REF!</definedName>
    <definedName name="________________out2">#REF!</definedName>
    <definedName name="________________PB1">#REF!</definedName>
    <definedName name="________________pdp1">#REF!</definedName>
    <definedName name="________________pdp2">#REF!</definedName>
    <definedName name="________________pdp3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b1">#REF!</definedName>
    <definedName name="________________Rb2">#REF!</definedName>
    <definedName name="________________Rct1">#REF!</definedName>
    <definedName name="________________Rct2">#REF!</definedName>
    <definedName name="________________Rct3">#REF!</definedName>
    <definedName name="________________Rct5">#REF!</definedName>
    <definedName name="________________Rct6">#REF!</definedName>
    <definedName name="________________rct7">#REF!</definedName>
    <definedName name="________________rcu2">#REF!</definedName>
    <definedName name="________________Re1">#REF!</definedName>
    <definedName name="________________Rl1">#REF!</definedName>
    <definedName name="________________Rl5">#REF!</definedName>
    <definedName name="________________Rl6">#REF!</definedName>
    <definedName name="________________Rl7">#REF!</definedName>
    <definedName name="________________row1">#REF!</definedName>
    <definedName name="________________Rr1">#REF!</definedName>
    <definedName name="________________Rr2">#REF!</definedName>
    <definedName name="________________Rr3">#REF!</definedName>
    <definedName name="________________rr5">#REF!</definedName>
    <definedName name="________________rr6">#REF!</definedName>
    <definedName name="________________rr7">#REF!</definedName>
    <definedName name="________________Rs1">#REF!</definedName>
    <definedName name="________________Rsb3">#REF!</definedName>
    <definedName name="________________rt1">#REF!</definedName>
    <definedName name="________________rt2">#REF!</definedName>
    <definedName name="________________rt3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>#REF!</definedName>
    <definedName name="________________Tk1">#REF!</definedName>
    <definedName name="________________Tk1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aa5">#REF!</definedName>
    <definedName name="________________vaa6">#REF!</definedName>
    <definedName name="________________var5">#REF!</definedName>
    <definedName name="________________Var6">#REF!</definedName>
    <definedName name="________________Vf1">#N/A</definedName>
    <definedName name="________________Vf2">#N/A</definedName>
    <definedName name="________________Vk1">#REF!</definedName>
    <definedName name="________________Vk2">#REF!</definedName>
    <definedName name="________________Vk3">#REF!</definedName>
    <definedName name="________________vr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a1">#REF!</definedName>
    <definedName name="_______________a5">#N/A</definedName>
    <definedName name="_______________a6">#N/A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2">#N/A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rg1">#REF!</definedName>
    <definedName name="_______________drg2">#REF!</definedName>
    <definedName name="_______________eth2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fa1">#REF!</definedName>
    <definedName name="_______________ifa2">#REF!</definedName>
    <definedName name="_______________IFZ1">#REF!</definedName>
    <definedName name="_______________ifz13">#REF!</definedName>
    <definedName name="_______________INT1">#REF!</definedName>
    <definedName name="_______________Ipn1">#REF!</definedName>
    <definedName name="_______________Ipn2">#REF!</definedName>
    <definedName name="_______________Ipn3">#REF!</definedName>
    <definedName name="_______________Ipn5">#REF!</definedName>
    <definedName name="_______________ipn6">#REF!</definedName>
    <definedName name="_______________ipn7">#REF!</definedName>
    <definedName name="_______________Ism3">#REF!</definedName>
    <definedName name="_______________Isn1">#REF!</definedName>
    <definedName name="_______________Isn2">#REF!</definedName>
    <definedName name="_______________Isn22">#REF!</definedName>
    <definedName name="_______________Isn3">#REF!</definedName>
    <definedName name="_______________isn5">#REF!</definedName>
    <definedName name="_______________ISO220">#REF!</definedName>
    <definedName name="_______________kd1">#REF!</definedName>
    <definedName name="_______________kd2">#REF!</definedName>
    <definedName name="_______________kd3">#REF!</definedName>
    <definedName name="_______________KEY3" hidden="1">#REF!</definedName>
    <definedName name="_______________Ki1">#REF!</definedName>
    <definedName name="_______________Ki2">#REF!</definedName>
    <definedName name="_______________ktd1">#REF!</definedName>
    <definedName name="_______________ktd2">#REF!</definedName>
    <definedName name="_______________ktd3">#REF!</definedName>
    <definedName name="_______________len2">#REF!</definedName>
    <definedName name="_______________len5">#REF!</definedName>
    <definedName name="_______________len7">#REF!</definedName>
    <definedName name="_______________LMH1">#REF!</definedName>
    <definedName name="_______________LMH2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b1">#REF!</definedName>
    <definedName name="_______________Rb2">#REF!</definedName>
    <definedName name="_______________Rct1">#REF!</definedName>
    <definedName name="_______________Rct2">#REF!</definedName>
    <definedName name="_______________Rct3">#REF!</definedName>
    <definedName name="_______________Rct5">#REF!</definedName>
    <definedName name="_______________Rct6">#REF!</definedName>
    <definedName name="_______________rct7">#REF!</definedName>
    <definedName name="_______________rcu2">#REF!</definedName>
    <definedName name="_______________Re1">#REF!</definedName>
    <definedName name="_______________Rl1">#REF!</definedName>
    <definedName name="_______________Rl5">#REF!</definedName>
    <definedName name="_______________Rl6">#REF!</definedName>
    <definedName name="_______________Rl7">#REF!</definedName>
    <definedName name="_______________Rr1">#REF!</definedName>
    <definedName name="_______________Rr2">#REF!</definedName>
    <definedName name="_______________Rr3">#REF!</definedName>
    <definedName name="_______________rr5">#REF!</definedName>
    <definedName name="_______________rr6">#REF!</definedName>
    <definedName name="_______________rr7">#REF!</definedName>
    <definedName name="_______________Rs1">#REF!</definedName>
    <definedName name="_______________Rsb3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aa5">#REF!</definedName>
    <definedName name="_______________vaa6">#REF!</definedName>
    <definedName name="_______________var5">#REF!</definedName>
    <definedName name="_______________Var6">#REF!</definedName>
    <definedName name="_______________Vf1">#N/A</definedName>
    <definedName name="_______________Vf2">#N/A</definedName>
    <definedName name="_______________Vk1">#REF!</definedName>
    <definedName name="_______________Vk2">#REF!</definedName>
    <definedName name="_______________Vk3">#REF!</definedName>
    <definedName name="_______________vr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a1">#REF!</definedName>
    <definedName name="______________a5">#N/A</definedName>
    <definedName name="______________a6">#N/A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hu1">#REF!</definedName>
    <definedName name="______________ahu2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2">#N/A</definedName>
    <definedName name="______________CAN9">#N/A</definedName>
    <definedName name="______________CCT220">#REF!</definedName>
    <definedName name="______________cdd2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1">#REF!</definedName>
    <definedName name="______________drg1">#REF!</definedName>
    <definedName name="______________drg2">#REF!</definedName>
    <definedName name="______________eth2">#REF!</definedName>
    <definedName name="______________fac1">#REF!</definedName>
    <definedName name="______________fac2">#REF!</definedName>
    <definedName name="______________fac3">#REF!</definedName>
    <definedName name="______________Fpi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fa1">#REF!</definedName>
    <definedName name="______________ifa2">#REF!</definedName>
    <definedName name="______________IFZ1">#REF!</definedName>
    <definedName name="______________ifz13">#REF!</definedName>
    <definedName name="______________INT1">#REF!</definedName>
    <definedName name="______________Ipn1">#REF!</definedName>
    <definedName name="______________Ipn2">#REF!</definedName>
    <definedName name="______________Ipn3">#REF!</definedName>
    <definedName name="______________Ipn5">#REF!</definedName>
    <definedName name="______________ipn6">#REF!</definedName>
    <definedName name="______________ipn7">#REF!</definedName>
    <definedName name="______________Ism3">#REF!</definedName>
    <definedName name="______________Isn1">#REF!</definedName>
    <definedName name="______________Isn2">#REF!</definedName>
    <definedName name="______________Isn22">#REF!</definedName>
    <definedName name="______________Isn3">#REF!</definedName>
    <definedName name="______________isn5">#REF!</definedName>
    <definedName name="______________ISO22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ktd1">#REF!</definedName>
    <definedName name="______________ktd2">#REF!</definedName>
    <definedName name="______________ktd3">#REF!</definedName>
    <definedName name="______________len2">#REF!</definedName>
    <definedName name="______________len5">#REF!</definedName>
    <definedName name="______________len7">#REF!</definedName>
    <definedName name="______________LMH1">#REF!</definedName>
    <definedName name="______________LMH2">#REF!</definedName>
    <definedName name="______________MAN1">#REF!</definedName>
    <definedName name="______________mcc1">#REF!</definedName>
    <definedName name="______________mcc2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B220">#REF!</definedName>
    <definedName name="______________mp1">#REF!</definedName>
    <definedName name="______________new1">#REF!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dp1">#REF!</definedName>
    <definedName name="______________pdp2">#REF!</definedName>
    <definedName name="______________pdp3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b1">#REF!</definedName>
    <definedName name="______________Rb2">#REF!</definedName>
    <definedName name="______________Rct1">#REF!</definedName>
    <definedName name="______________Rct2">#REF!</definedName>
    <definedName name="______________Rct3">#REF!</definedName>
    <definedName name="______________Rct5">#REF!</definedName>
    <definedName name="______________Rct6">#REF!</definedName>
    <definedName name="______________rct7">#REF!</definedName>
    <definedName name="______________rcu2">#REF!</definedName>
    <definedName name="______________Re1">#REF!</definedName>
    <definedName name="______________Rl1">#REF!</definedName>
    <definedName name="______________Rl5">#REF!</definedName>
    <definedName name="______________Rl6">#REF!</definedName>
    <definedName name="______________Rl7">#REF!</definedName>
    <definedName name="______________row1">#REF!</definedName>
    <definedName name="______________Rr1">#REF!</definedName>
    <definedName name="______________Rr2">#REF!</definedName>
    <definedName name="______________Rr3">#REF!</definedName>
    <definedName name="______________rr5">#REF!</definedName>
    <definedName name="______________rr6">#REF!</definedName>
    <definedName name="______________rr7">#REF!</definedName>
    <definedName name="______________Rs1">#REF!</definedName>
    <definedName name="______________Rsb3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aa5">#REF!</definedName>
    <definedName name="______________vaa6">#REF!</definedName>
    <definedName name="______________var5">#REF!</definedName>
    <definedName name="______________Var6">#REF!</definedName>
    <definedName name="______________Vf1">#N/A</definedName>
    <definedName name="______________Vf2">#N/A</definedName>
    <definedName name="______________Vk1">#REF!</definedName>
    <definedName name="______________Vk2">#REF!</definedName>
    <definedName name="______________Vk3">#REF!</definedName>
    <definedName name="______________vr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a1">#REF!</definedName>
    <definedName name="_____________a5">#N/A</definedName>
    <definedName name="_____________a6">#N/A</definedName>
    <definedName name="_____________aba2">#REF!</definedName>
    <definedName name="_____________acs1">#REF!</definedName>
    <definedName name="_____________acs2">#REF!</definedName>
    <definedName name="_____________adj1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2">#N/A</definedName>
    <definedName name="_____________CAN9">#N/A</definedName>
    <definedName name="_____________CCT220">#REF!</definedName>
    <definedName name="_____________cdd2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hidden="1">{"'Sheet1'!$A$4386:$N$4591"}</definedName>
    <definedName name="_____________dec05_1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rg1">#REF!</definedName>
    <definedName name="_____________drg2">#REF!</definedName>
    <definedName name="_____________eth2">#REF!</definedName>
    <definedName name="_____________fac1">#REF!</definedName>
    <definedName name="_____________fac2">#REF!</definedName>
    <definedName name="_____________fac3">#REF!</definedName>
    <definedName name="_____________Fpi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fa1">#REF!</definedName>
    <definedName name="_____________ifa2">#REF!</definedName>
    <definedName name="_____________IFZ1">#REF!</definedName>
    <definedName name="_____________ifz13">#REF!</definedName>
    <definedName name="_____________INT1">#REF!</definedName>
    <definedName name="_____________Ipn1">#REF!</definedName>
    <definedName name="_____________Ipn2">#REF!</definedName>
    <definedName name="_____________Ipn3">#REF!</definedName>
    <definedName name="_____________Ipn5">#REF!</definedName>
    <definedName name="_____________ipn6">#REF!</definedName>
    <definedName name="_____________ipn7">#REF!</definedName>
    <definedName name="_____________Ism3">#REF!</definedName>
    <definedName name="_____________Isn1">#REF!</definedName>
    <definedName name="_____________Isn2">#REF!</definedName>
    <definedName name="_____________Isn22">#REF!</definedName>
    <definedName name="_____________Isn3">#REF!</definedName>
    <definedName name="_____________isn5">#REF!</definedName>
    <definedName name="_____________ISO22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ktd1">#REF!</definedName>
    <definedName name="_____________ktd2">#REF!</definedName>
    <definedName name="_____________ktd3">#REF!</definedName>
    <definedName name="_____________len2">#REF!</definedName>
    <definedName name="_____________len5">#REF!</definedName>
    <definedName name="_____________len7">#REF!</definedName>
    <definedName name="_____________LMH1">#REF!</definedName>
    <definedName name="_____________LMH2">#REF!</definedName>
    <definedName name="_____________MAN1">#REF!</definedName>
    <definedName name="_____________mcl132">#REF!</definedName>
    <definedName name="_____________ml3">#REF!</definedName>
    <definedName name="_____________ml33">#REF!</definedName>
    <definedName name="_____________mlc33">#REF!</definedName>
    <definedName name="_____________MMB220">#REF!</definedName>
    <definedName name="_____________new1">#REF!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b1">#REF!</definedName>
    <definedName name="_____________Rb2">#REF!</definedName>
    <definedName name="_____________Rct1">#REF!</definedName>
    <definedName name="_____________Rct2">#REF!</definedName>
    <definedName name="_____________Rct3">#REF!</definedName>
    <definedName name="_____________Rct5">#REF!</definedName>
    <definedName name="_____________Rct6">#REF!</definedName>
    <definedName name="_____________rct7">#REF!</definedName>
    <definedName name="_____________rcu2">#REF!</definedName>
    <definedName name="_____________Re1">#REF!</definedName>
    <definedName name="_____________Rl1">#REF!</definedName>
    <definedName name="_____________Rl5">#REF!</definedName>
    <definedName name="_____________Rl6">#REF!</definedName>
    <definedName name="_____________Rl7">#REF!</definedName>
    <definedName name="_____________Rr1">#REF!</definedName>
    <definedName name="_____________Rr2">#REF!</definedName>
    <definedName name="_____________Rr3">#REF!</definedName>
    <definedName name="_____________rr5">#REF!</definedName>
    <definedName name="_____________rr6">#REF!</definedName>
    <definedName name="_____________rr7">#REF!</definedName>
    <definedName name="_____________Rs1">#REF!</definedName>
    <definedName name="_____________Rsb3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sub11">#REF!</definedName>
    <definedName name="_____________TAB1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aa5">#REF!</definedName>
    <definedName name="_____________vaa6">#REF!</definedName>
    <definedName name="_____________var5">#REF!</definedName>
    <definedName name="_____________Var6">#REF!</definedName>
    <definedName name="_____________Vf1">#N/A</definedName>
    <definedName name="_____________Vf2">#N/A</definedName>
    <definedName name="_____________Vk1">#REF!</definedName>
    <definedName name="_____________Vk2">#REF!</definedName>
    <definedName name="_____________Vk3">#REF!</definedName>
    <definedName name="_____________vr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a1">#REF!</definedName>
    <definedName name="____________a5">#REF!</definedName>
    <definedName name="____________a6">#REF!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hu1">#REF!</definedName>
    <definedName name="____________ahu2">#REF!</definedName>
    <definedName name="____________AST1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2">#REF!</definedName>
    <definedName name="____________CAN9">#REF!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hidden="1">{"'Sheet1'!$A$4386:$N$4591"}</definedName>
    <definedName name="____________dec05_1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1">#REF!</definedName>
    <definedName name="____________drg1">#REF!</definedName>
    <definedName name="____________drg2">#REF!</definedName>
    <definedName name="____________eth2">#REF!</definedName>
    <definedName name="____________fac1">#REF!</definedName>
    <definedName name="____________fac2">#REF!</definedName>
    <definedName name="____________fac3">#REF!</definedName>
    <definedName name="____________Fpi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fa1">#REF!</definedName>
    <definedName name="____________ifa2">#REF!</definedName>
    <definedName name="____________IFZ1">#REF!</definedName>
    <definedName name="____________ifz13">#REF!</definedName>
    <definedName name="____________INT1">#REF!</definedName>
    <definedName name="____________Ipn1">#REF!</definedName>
    <definedName name="____________Ipn2">#REF!</definedName>
    <definedName name="____________Ipn3">#REF!</definedName>
    <definedName name="____________Ipn5">#REF!</definedName>
    <definedName name="____________ipn6">#REF!</definedName>
    <definedName name="____________ipn7">#REF!</definedName>
    <definedName name="____________Ism3">#REF!</definedName>
    <definedName name="____________Isn1">#REF!</definedName>
    <definedName name="____________Isn2">#REF!</definedName>
    <definedName name="____________Isn22">#REF!</definedName>
    <definedName name="____________Isn3">#REF!</definedName>
    <definedName name="____________isn5">#REF!</definedName>
    <definedName name="____________ISO220">#REF!</definedName>
    <definedName name="____________kd1">#REF!</definedName>
    <definedName name="____________kd2">#REF!</definedName>
    <definedName name="____________kd3">#REF!</definedName>
    <definedName name="____________KEY3" hidden="1">#REF!</definedName>
    <definedName name="____________Ki1">#REF!</definedName>
    <definedName name="____________Ki2">#REF!</definedName>
    <definedName name="____________ktd1">#REF!</definedName>
    <definedName name="____________ktd2">#REF!</definedName>
    <definedName name="____________ktd3">#REF!</definedName>
    <definedName name="____________len2">#REF!</definedName>
    <definedName name="____________len5">#REF!</definedName>
    <definedName name="____________len7">#REF!</definedName>
    <definedName name="____________LMH1">#REF!</definedName>
    <definedName name="____________LMH2">#REF!</definedName>
    <definedName name="____________MAN1">#REF!</definedName>
    <definedName name="____________mcc1">#REF!</definedName>
    <definedName name="____________mcc2">#REF!</definedName>
    <definedName name="____________mcl132">#REF!</definedName>
    <definedName name="____________ml3">#REF!</definedName>
    <definedName name="____________ml33">#REF!</definedName>
    <definedName name="____________mlc33">#REF!</definedName>
    <definedName name="____________MMB220">#REF!</definedName>
    <definedName name="____________mp1">#REF!</definedName>
    <definedName name="____________new1">#REF!</definedName>
    <definedName name="____________OPT8">#REF!</definedName>
    <definedName name="____________OPT9">#REF!</definedName>
    <definedName name="____________out2">#REF!</definedName>
    <definedName name="____________PB1">#REF!</definedName>
    <definedName name="____________pdp1">#REF!</definedName>
    <definedName name="____________pdp2">#REF!</definedName>
    <definedName name="____________pdp3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b1">#REF!</definedName>
    <definedName name="____________Rb2">#REF!</definedName>
    <definedName name="____________Rct1">#REF!</definedName>
    <definedName name="____________Rct2">#REF!</definedName>
    <definedName name="____________Rct3">#REF!</definedName>
    <definedName name="____________Rct5">#REF!</definedName>
    <definedName name="____________Rct6">#REF!</definedName>
    <definedName name="____________rct7">#REF!</definedName>
    <definedName name="____________rcu2">#REF!</definedName>
    <definedName name="____________Re1">#REF!</definedName>
    <definedName name="____________Rl1">#REF!</definedName>
    <definedName name="____________Rl5">#REF!</definedName>
    <definedName name="____________Rl6">#REF!</definedName>
    <definedName name="____________Rl7">#REF!</definedName>
    <definedName name="____________row1">#REF!</definedName>
    <definedName name="____________Rr1">#REF!</definedName>
    <definedName name="____________Rr2">#REF!</definedName>
    <definedName name="____________Rr3">#REF!</definedName>
    <definedName name="____________rr5">#REF!</definedName>
    <definedName name="____________rr6">#REF!</definedName>
    <definedName name="____________rr7">#REF!</definedName>
    <definedName name="____________Rs1">#REF!</definedName>
    <definedName name="____________Rsb3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sub11">#REF!</definedName>
    <definedName name="____________TAB1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aa5">#REF!</definedName>
    <definedName name="____________vaa6">#REF!</definedName>
    <definedName name="____________var5">#REF!</definedName>
    <definedName name="____________Var6">#REF!</definedName>
    <definedName name="____________Vf1">#N/A</definedName>
    <definedName name="____________Vf2">#N/A</definedName>
    <definedName name="____________Vk1">#REF!</definedName>
    <definedName name="____________Vk2">#REF!</definedName>
    <definedName name="____________Vk3">#REF!</definedName>
    <definedName name="____________vr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a1">#REF!</definedName>
    <definedName name="___________a5">#N/A</definedName>
    <definedName name="___________a6">#N/A</definedName>
    <definedName name="___________aba2">#REF!</definedName>
    <definedName name="___________acs1">#REF!</definedName>
    <definedName name="___________acs2">#REF!</definedName>
    <definedName name="___________adj1">#REF!</definedName>
    <definedName name="___________AHP1">#REF!</definedName>
    <definedName name="___________ahu1">#REF!</definedName>
    <definedName name="___________ahu2">#REF!</definedName>
    <definedName name="___________AST1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2">#N/A</definedName>
    <definedName name="___________CAN9">#N/A</definedName>
    <definedName name="___________CCT220">#REF!</definedName>
    <definedName name="___________cdd2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hidden="1">{"'Sheet1'!$A$4386:$N$4591"}</definedName>
    <definedName name="___________dec05_1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1">#REF!</definedName>
    <definedName name="___________drg1">#REF!</definedName>
    <definedName name="___________drg2">#REF!</definedName>
    <definedName name="___________eth2">#REF!</definedName>
    <definedName name="___________fac1">#REF!</definedName>
    <definedName name="___________fac2">#REF!</definedName>
    <definedName name="___________fac3">#REF!</definedName>
    <definedName name="___________Fpi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fa1">#REF!</definedName>
    <definedName name="___________ifa2">#REF!</definedName>
    <definedName name="___________IFZ1">#REF!</definedName>
    <definedName name="___________ifz13">#REF!</definedName>
    <definedName name="___________INT1">#REF!</definedName>
    <definedName name="___________Ipn1">#REF!</definedName>
    <definedName name="___________Ipn2">#REF!</definedName>
    <definedName name="___________Ipn3">#REF!</definedName>
    <definedName name="___________Ipn5">#REF!</definedName>
    <definedName name="___________ipn6">#REF!</definedName>
    <definedName name="___________ipn7">#REF!</definedName>
    <definedName name="___________Ism3">#REF!</definedName>
    <definedName name="___________Isn1">#REF!</definedName>
    <definedName name="___________Isn2">#REF!</definedName>
    <definedName name="___________Isn22">#REF!</definedName>
    <definedName name="___________Isn3">#REF!</definedName>
    <definedName name="___________isn5">#REF!</definedName>
    <definedName name="___________ISO220">#REF!</definedName>
    <definedName name="___________kd1">#REF!</definedName>
    <definedName name="___________kd2">#REF!</definedName>
    <definedName name="___________kd3">#REF!</definedName>
    <definedName name="___________Ki1">#REF!</definedName>
    <definedName name="___________Ki2">#REF!</definedName>
    <definedName name="___________ktd1">#REF!</definedName>
    <definedName name="___________ktd2">#REF!</definedName>
    <definedName name="___________ktd3">#REF!</definedName>
    <definedName name="___________len2">#REF!</definedName>
    <definedName name="___________len5">#REF!</definedName>
    <definedName name="___________len7">#REF!</definedName>
    <definedName name="___________LMH1">#REF!</definedName>
    <definedName name="___________LMH2">#REF!</definedName>
    <definedName name="___________MAN1">#REF!</definedName>
    <definedName name="___________mcc1">#REF!</definedName>
    <definedName name="___________mcc2">#REF!</definedName>
    <definedName name="___________mcl132">#REF!</definedName>
    <definedName name="___________ml3">#REF!</definedName>
    <definedName name="___________ml33">#REF!</definedName>
    <definedName name="___________mlc33">#REF!</definedName>
    <definedName name="___________MMB220">#REF!</definedName>
    <definedName name="___________mp1">#REF!</definedName>
    <definedName name="___________new1">#REF!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dp1">#REF!</definedName>
    <definedName name="___________pdp2">#REF!</definedName>
    <definedName name="___________pdp3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b1">#REF!</definedName>
    <definedName name="___________Rb2">#REF!</definedName>
    <definedName name="___________Rct1">#REF!</definedName>
    <definedName name="___________Rct2">#REF!</definedName>
    <definedName name="___________Rct3">#REF!</definedName>
    <definedName name="___________Rct5">#REF!</definedName>
    <definedName name="___________Rct6">#REF!</definedName>
    <definedName name="___________rct7">#REF!</definedName>
    <definedName name="___________rcu2">#REF!</definedName>
    <definedName name="___________Re1">#REF!</definedName>
    <definedName name="___________Rl1">#REF!</definedName>
    <definedName name="___________Rl5">#REF!</definedName>
    <definedName name="___________Rl6">#REF!</definedName>
    <definedName name="___________Rl7">#REF!</definedName>
    <definedName name="___________row1">#REF!</definedName>
    <definedName name="___________Rr1">#REF!</definedName>
    <definedName name="___________Rr2">#REF!</definedName>
    <definedName name="___________Rr3">#REF!</definedName>
    <definedName name="___________rr5">#REF!</definedName>
    <definedName name="___________rr6">#REF!</definedName>
    <definedName name="___________rr7">#REF!</definedName>
    <definedName name="___________Rs1">#REF!</definedName>
    <definedName name="___________Rsb3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sub11">#REF!</definedName>
    <definedName name="___________TAB1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aa5">#REF!</definedName>
    <definedName name="___________vaa6">#REF!</definedName>
    <definedName name="___________var5">#REF!</definedName>
    <definedName name="___________Var6">#REF!</definedName>
    <definedName name="___________Vf1">#N/A</definedName>
    <definedName name="___________Vf2">#N/A</definedName>
    <definedName name="___________Vk1">#REF!</definedName>
    <definedName name="___________Vk2">#REF!</definedName>
    <definedName name="___________Vk3">#REF!</definedName>
    <definedName name="___________vr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a1">#REF!</definedName>
    <definedName name="__________a5">#REF!</definedName>
    <definedName name="__________a6">#REF!</definedName>
    <definedName name="__________aba2">#REF!</definedName>
    <definedName name="__________acs1">#REF!</definedName>
    <definedName name="__________acs2">#REF!</definedName>
    <definedName name="__________adj1">#REF!</definedName>
    <definedName name="__________AHP1">#REF!</definedName>
    <definedName name="__________ahu1">#REF!</definedName>
    <definedName name="__________ahu2">#REF!</definedName>
    <definedName name="__________AST1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2">#REF!</definedName>
    <definedName name="__________CAN9">#REF!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hidden="1">{"'Sheet1'!$A$4386:$N$4591"}</definedName>
    <definedName name="__________dec05_1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1">#REF!</definedName>
    <definedName name="__________drg1">#REF!</definedName>
    <definedName name="__________drg2">#REF!</definedName>
    <definedName name="__________eth2">#REF!</definedName>
    <definedName name="__________fac1">#REF!</definedName>
    <definedName name="__________fac2">#REF!</definedName>
    <definedName name="__________fac3">#REF!</definedName>
    <definedName name="__________Fpi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fa1">#REF!</definedName>
    <definedName name="__________ifa2">#REF!</definedName>
    <definedName name="__________IFZ1">#REF!</definedName>
    <definedName name="__________ifz13">#REF!</definedName>
    <definedName name="__________INT1">#REF!</definedName>
    <definedName name="__________Ipn1">#REF!</definedName>
    <definedName name="__________Ipn2">#REF!</definedName>
    <definedName name="__________Ipn3">#REF!</definedName>
    <definedName name="__________Ipn5">#REF!</definedName>
    <definedName name="__________ipn6">#REF!</definedName>
    <definedName name="__________ipn7">#REF!</definedName>
    <definedName name="__________Ism3">#REF!</definedName>
    <definedName name="__________Isn1">#REF!</definedName>
    <definedName name="__________Isn2">#REF!</definedName>
    <definedName name="__________Isn22">#REF!</definedName>
    <definedName name="__________Isn3">#REF!</definedName>
    <definedName name="__________isn5">#REF!</definedName>
    <definedName name="__________ISO220">#REF!</definedName>
    <definedName name="__________kd1">#REF!</definedName>
    <definedName name="__________kd2">#REF!</definedName>
    <definedName name="__________kd3">#REF!</definedName>
    <definedName name="__________Ki1">#REF!</definedName>
    <definedName name="__________Ki2">#REF!</definedName>
    <definedName name="__________ktd1">#REF!</definedName>
    <definedName name="__________ktd2">#REF!</definedName>
    <definedName name="__________ktd3">#REF!</definedName>
    <definedName name="__________len2">#REF!</definedName>
    <definedName name="__________len5">#REF!</definedName>
    <definedName name="__________len7">#REF!</definedName>
    <definedName name="__________LMH1">#REF!</definedName>
    <definedName name="__________LMH2">#REF!</definedName>
    <definedName name="__________MAN1">#REF!</definedName>
    <definedName name="__________mcc1">#REF!</definedName>
    <definedName name="__________mcc2">#REF!</definedName>
    <definedName name="__________mcl132">#REF!</definedName>
    <definedName name="__________ml3">#REF!</definedName>
    <definedName name="__________ml33">#REF!</definedName>
    <definedName name="__________mlc33">#REF!</definedName>
    <definedName name="__________MMB220">#REF!</definedName>
    <definedName name="__________mp1">#REF!</definedName>
    <definedName name="__________new1">#REF!</definedName>
    <definedName name="__________OPT8">#REF!</definedName>
    <definedName name="__________OPT9">#REF!</definedName>
    <definedName name="__________out2">#REF!</definedName>
    <definedName name="__________PB1">#REF!</definedName>
    <definedName name="__________pdp1">#REF!</definedName>
    <definedName name="__________pdp2">#REF!</definedName>
    <definedName name="__________pdp3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b1">#REF!</definedName>
    <definedName name="__________Rb2">#REF!</definedName>
    <definedName name="__________Rct1">#REF!</definedName>
    <definedName name="__________Rct2">#REF!</definedName>
    <definedName name="__________Rct3">#REF!</definedName>
    <definedName name="__________Rct5">#REF!</definedName>
    <definedName name="__________Rct6">#REF!</definedName>
    <definedName name="__________rct7">#REF!</definedName>
    <definedName name="__________rcu2">#REF!</definedName>
    <definedName name="__________Re1">#REF!</definedName>
    <definedName name="__________Rl1">#REF!</definedName>
    <definedName name="__________Rl5">#REF!</definedName>
    <definedName name="__________Rl6">#REF!</definedName>
    <definedName name="__________Rl7">#REF!</definedName>
    <definedName name="__________row1">#REF!</definedName>
    <definedName name="__________Rr1">#REF!</definedName>
    <definedName name="__________Rr2">#REF!</definedName>
    <definedName name="__________Rr3">#REF!</definedName>
    <definedName name="__________rr5">#REF!</definedName>
    <definedName name="__________rr6">#REF!</definedName>
    <definedName name="__________rr7">#REF!</definedName>
    <definedName name="__________Rs1">#REF!</definedName>
    <definedName name="__________Rsb3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sub11">#REF!</definedName>
    <definedName name="__________TAB1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aa5">#REF!</definedName>
    <definedName name="__________vaa6">#REF!</definedName>
    <definedName name="__________var5">#REF!</definedName>
    <definedName name="__________Var6">#REF!</definedName>
    <definedName name="__________Vf1">#N/A</definedName>
    <definedName name="__________Vf2">#N/A</definedName>
    <definedName name="__________Vk1">#REF!</definedName>
    <definedName name="__________Vk2">#REF!</definedName>
    <definedName name="__________Vk3">#REF!</definedName>
    <definedName name="__________vr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a1">#REF!</definedName>
    <definedName name="_________a5">#N/A</definedName>
    <definedName name="_________a6">#N/A</definedName>
    <definedName name="_________A655600">#REF!</definedName>
    <definedName name="_________a655601">#REF!</definedName>
    <definedName name="_________aba2">#REF!</definedName>
    <definedName name="_________acs1">#REF!</definedName>
    <definedName name="_________acs2">#REF!</definedName>
    <definedName name="_________adj1">#REF!</definedName>
    <definedName name="_________AHP1">#N/A</definedName>
    <definedName name="_________ahu1">#REF!</definedName>
    <definedName name="_________ahu2">#REF!</definedName>
    <definedName name="_________AST1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2">#REF!</definedName>
    <definedName name="_________CAN9">#REF!</definedName>
    <definedName name="_________CCT220">#REF!</definedName>
    <definedName name="_________cdd2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hidden="1">{"'Sheet1'!$A$4386:$N$4591"}</definedName>
    <definedName name="_________dec05_1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1">#REF!</definedName>
    <definedName name="_________drg1">#REF!</definedName>
    <definedName name="_________drg2">#REF!</definedName>
    <definedName name="_________eth2">#REF!</definedName>
    <definedName name="_________fac1">#REF!</definedName>
    <definedName name="_________fac2">#REF!</definedName>
    <definedName name="_________fac3">#REF!</definedName>
    <definedName name="_________Fpi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fa1">#REF!</definedName>
    <definedName name="_________ifa2">#REF!</definedName>
    <definedName name="_________IFZ1">#REF!</definedName>
    <definedName name="_________ifz13">#REF!</definedName>
    <definedName name="_________INT1">#REF!</definedName>
    <definedName name="_________Ipn1">#REF!</definedName>
    <definedName name="_________Ipn2">#REF!</definedName>
    <definedName name="_________Ipn3">#REF!</definedName>
    <definedName name="_________Ipn5">#REF!</definedName>
    <definedName name="_________ipn6">#REF!</definedName>
    <definedName name="_________ipn7">#REF!</definedName>
    <definedName name="_________Ism3">#REF!</definedName>
    <definedName name="_________Isn1">#REF!</definedName>
    <definedName name="_________Isn2">#REF!</definedName>
    <definedName name="_________Isn22">#REF!</definedName>
    <definedName name="_________Isn3">#REF!</definedName>
    <definedName name="_________isn5">#REF!</definedName>
    <definedName name="_________ISO220">#REF!</definedName>
    <definedName name="_________kd1">#REF!</definedName>
    <definedName name="_________kd2">#REF!</definedName>
    <definedName name="_________kd3">#REF!</definedName>
    <definedName name="_________Ki1">#REF!</definedName>
    <definedName name="_________Ki2">#REF!</definedName>
    <definedName name="_________ktd1">#REF!</definedName>
    <definedName name="_________ktd2">#REF!</definedName>
    <definedName name="_________ktd3">#REF!</definedName>
    <definedName name="_________len2">#REF!</definedName>
    <definedName name="_________len5">#REF!</definedName>
    <definedName name="_________len7">#REF!</definedName>
    <definedName name="_________LMH1">#REF!</definedName>
    <definedName name="_________LMH2">#REF!</definedName>
    <definedName name="_________MAN1">#REF!</definedName>
    <definedName name="_________mcc1">#REF!</definedName>
    <definedName name="_________mcc2">#REF!</definedName>
    <definedName name="_________mcl132">#REF!</definedName>
    <definedName name="_________ml3">#REF!</definedName>
    <definedName name="_________ml33">#REF!</definedName>
    <definedName name="_________mlc33">#REF!</definedName>
    <definedName name="_________MMB220">#REF!</definedName>
    <definedName name="_________mp1">#REF!</definedName>
    <definedName name="_________new1">#REF!</definedName>
    <definedName name="_________OPT8">#REF!</definedName>
    <definedName name="_________OPT9">#REF!</definedName>
    <definedName name="_________out2">#REF!</definedName>
    <definedName name="_________PB1">#REF!</definedName>
    <definedName name="_________pdp1">#REF!</definedName>
    <definedName name="_________pdp2">#REF!</definedName>
    <definedName name="_________pdp3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b1">#REF!</definedName>
    <definedName name="_________Rb2">#REF!</definedName>
    <definedName name="_________Rct1">#REF!</definedName>
    <definedName name="_________Rct2">#REF!</definedName>
    <definedName name="_________Rct3">#REF!</definedName>
    <definedName name="_________Rct5">#REF!</definedName>
    <definedName name="_________Rct6">#REF!</definedName>
    <definedName name="_________rct7">#REF!</definedName>
    <definedName name="_________rcu2">#REF!</definedName>
    <definedName name="_________Re1">#REF!</definedName>
    <definedName name="_________Rl1">#REF!</definedName>
    <definedName name="_________Rl5">#REF!</definedName>
    <definedName name="_________Rl6">#REF!</definedName>
    <definedName name="_________Rl7">#REF!</definedName>
    <definedName name="_________row1">#REF!</definedName>
    <definedName name="_________Rr1">#REF!</definedName>
    <definedName name="_________Rr2">#REF!</definedName>
    <definedName name="_________Rr3">#REF!</definedName>
    <definedName name="_________rr5">#REF!</definedName>
    <definedName name="_________rr6">#REF!</definedName>
    <definedName name="_________rr7">#REF!</definedName>
    <definedName name="_________Rs1">#REF!</definedName>
    <definedName name="_________Rsb3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sub11">#REF!</definedName>
    <definedName name="_________TAB1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aa5">#REF!</definedName>
    <definedName name="_________vaa6">#REF!</definedName>
    <definedName name="_________var5">#REF!</definedName>
    <definedName name="_________Var6">#REF!</definedName>
    <definedName name="_________Vf1">#N/A</definedName>
    <definedName name="_________Vf2">#N/A</definedName>
    <definedName name="_________Vk1">#REF!</definedName>
    <definedName name="_________Vk2">#REF!</definedName>
    <definedName name="_________Vk3">#REF!</definedName>
    <definedName name="_________vr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a1">#REF!</definedName>
    <definedName name="________a5">#N/A</definedName>
    <definedName name="________a6">#N/A</definedName>
    <definedName name="________A655600">#REF!</definedName>
    <definedName name="________a655601">#REF!</definedName>
    <definedName name="________aba2">#REF!</definedName>
    <definedName name="________acs1">#REF!</definedName>
    <definedName name="________acs2">#REF!</definedName>
    <definedName name="________adj1">#REF!</definedName>
    <definedName name="________AHP1">#REF!</definedName>
    <definedName name="________ahu1">#REF!</definedName>
    <definedName name="________ahu2">#REF!</definedName>
    <definedName name="________AST1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4">#REF!</definedName>
    <definedName name="________CAN2">#REF!</definedName>
    <definedName name="________CAN9">#REF!</definedName>
    <definedName name="________CCT220">#REF!</definedName>
    <definedName name="________cdd2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hidden="1">{"'Sheet1'!$A$4386:$N$4591"}</definedName>
    <definedName name="________dec05_1" hidden="1">{"'Sheet1'!$A$4386:$N$4591"}</definedName>
    <definedName name="________del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1">#REF!</definedName>
    <definedName name="________drg1">#REF!</definedName>
    <definedName name="________drg2">#REF!</definedName>
    <definedName name="________eth2">#REF!</definedName>
    <definedName name="________fac1">#REF!</definedName>
    <definedName name="________fac2">#REF!</definedName>
    <definedName name="________fac3">#REF!</definedName>
    <definedName name="________Fpi1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fa1">#REF!</definedName>
    <definedName name="________ifa2">#REF!</definedName>
    <definedName name="________IFZ1">#REF!</definedName>
    <definedName name="________ifz13">#REF!</definedName>
    <definedName name="________INT1">#REF!</definedName>
    <definedName name="________Ipn1">#REF!</definedName>
    <definedName name="________Ipn2">#REF!</definedName>
    <definedName name="________Ipn3">#REF!</definedName>
    <definedName name="________Ipn5">#REF!</definedName>
    <definedName name="________ipn6">#REF!</definedName>
    <definedName name="________ipn7">#REF!</definedName>
    <definedName name="________Ism3">#REF!</definedName>
    <definedName name="________Isn1">#REF!</definedName>
    <definedName name="________Isn2">#REF!</definedName>
    <definedName name="________Isn22">#REF!</definedName>
    <definedName name="________Isn3">#REF!</definedName>
    <definedName name="________isn5">#REF!</definedName>
    <definedName name="________ISO220">#REF!</definedName>
    <definedName name="________kd1">#REF!</definedName>
    <definedName name="________kd2">#REF!</definedName>
    <definedName name="________kd3">#REF!</definedName>
    <definedName name="________KEY3" hidden="1">#REF!</definedName>
    <definedName name="________Ki1">#REF!</definedName>
    <definedName name="________Ki2">#REF!</definedName>
    <definedName name="________ktd1">#REF!</definedName>
    <definedName name="________ktd2">#REF!</definedName>
    <definedName name="________ktd3">#REF!</definedName>
    <definedName name="________len2">#REF!</definedName>
    <definedName name="________len5">#REF!</definedName>
    <definedName name="________len7">#REF!</definedName>
    <definedName name="________LMH1">#REF!</definedName>
    <definedName name="________LMH2">#REF!</definedName>
    <definedName name="________MAN1">#REF!</definedName>
    <definedName name="________mcc1">#REF!</definedName>
    <definedName name="________mcc2">#REF!</definedName>
    <definedName name="________mcl132">#REF!</definedName>
    <definedName name="________ml3">#REF!</definedName>
    <definedName name="________ml33">#REF!</definedName>
    <definedName name="________mlc33">#REF!</definedName>
    <definedName name="________MMB220">#REF!</definedName>
    <definedName name="________mp1">#REF!</definedName>
    <definedName name="________new1">#REF!</definedName>
    <definedName name="________OPT8">#REF!</definedName>
    <definedName name="________OPT9">#REF!</definedName>
    <definedName name="________out2">#REF!</definedName>
    <definedName name="________PB1">#REF!</definedName>
    <definedName name="________pdp1">#REF!</definedName>
    <definedName name="________pdp2">#REF!</definedName>
    <definedName name="________pdp3">#REF!</definedName>
    <definedName name="________pep99">#REF!</definedName>
    <definedName name="________pfi1">#REF!</definedName>
    <definedName name="________pp1">#REF!</definedName>
    <definedName name="________pp2">#REF!</definedName>
    <definedName name="________Rb1">#REF!</definedName>
    <definedName name="________Rb2">#REF!</definedName>
    <definedName name="________Rct1">#REF!</definedName>
    <definedName name="________Rct2">#REF!</definedName>
    <definedName name="________Rct3">#REF!</definedName>
    <definedName name="________Rct5">#REF!</definedName>
    <definedName name="________Rct6">#REF!</definedName>
    <definedName name="________rct7">#REF!</definedName>
    <definedName name="________rcu2">#REF!</definedName>
    <definedName name="________Re1">#REF!</definedName>
    <definedName name="________Rl1">#REF!</definedName>
    <definedName name="________Rl5">#REF!</definedName>
    <definedName name="________Rl6">#REF!</definedName>
    <definedName name="________Rl7">#REF!</definedName>
    <definedName name="________row1">#REF!</definedName>
    <definedName name="________Rr1">#REF!</definedName>
    <definedName name="________Rr2">#REF!</definedName>
    <definedName name="________Rr3">#REF!</definedName>
    <definedName name="________rr5">#REF!</definedName>
    <definedName name="________rr6">#REF!</definedName>
    <definedName name="________rr7">#REF!</definedName>
    <definedName name="________Rs1">#REF!</definedName>
    <definedName name="________Rsb3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ch2">#REF!</definedName>
    <definedName name="________sch9">#REF!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sub11">#REF!</definedName>
    <definedName name="________TAB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aa5">#REF!</definedName>
    <definedName name="________vaa6">#REF!</definedName>
    <definedName name="________var5">#REF!</definedName>
    <definedName name="________Var6">#REF!</definedName>
    <definedName name="________Vf1">#N/A</definedName>
    <definedName name="________Vf2">#N/A</definedName>
    <definedName name="________Vk1">#REF!</definedName>
    <definedName name="________Vk2">#REF!</definedName>
    <definedName name="________Vk3">#REF!</definedName>
    <definedName name="________vr1">#REF!</definedName>
    <definedName name="________Wc1">#REF!</definedName>
    <definedName name="________WC3">#REF!</definedName>
    <definedName name="________wp1">#REF!</definedName>
    <definedName name="________Wr1">#REF!</definedName>
    <definedName name="________Wr3">#REF!</definedName>
    <definedName name="________Xl1">#REF!</definedName>
    <definedName name="_______a1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acs1">#REF!</definedName>
    <definedName name="_______acs2">#REF!</definedName>
    <definedName name="_______adj1">#REF!</definedName>
    <definedName name="_______AHP1">#REF!</definedName>
    <definedName name="_______ahu1">#REF!</definedName>
    <definedName name="_______ahu2">#REF!</definedName>
    <definedName name="_______AST1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2">#REF!</definedName>
    <definedName name="_______CAN9">#REF!</definedName>
    <definedName name="_______CCT220">#REF!</definedName>
    <definedName name="_______cdd2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hidden="1">{"'Sheet1'!$A$4386:$N$4591"}</definedName>
    <definedName name="_______dec05_1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IS1">#REF!</definedName>
    <definedName name="_______dol11">#REF!</definedName>
    <definedName name="_______drg1">#REF!</definedName>
    <definedName name="_______drg2">#REF!</definedName>
    <definedName name="_______eth2">#REF!</definedName>
    <definedName name="_______fac1">#REF!</definedName>
    <definedName name="_______fac2">#REF!</definedName>
    <definedName name="_______fac3">#REF!</definedName>
    <definedName name="_______Fpi1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fa1">#REF!</definedName>
    <definedName name="_______ifa2">#REF!</definedName>
    <definedName name="_______IFZ1">#REF!</definedName>
    <definedName name="_______ifz13">#REF!</definedName>
    <definedName name="_______INT1">#REF!</definedName>
    <definedName name="_______Ipn1">#REF!</definedName>
    <definedName name="_______Ipn2">#REF!</definedName>
    <definedName name="_______Ipn3">#REF!</definedName>
    <definedName name="_______Ipn5">#REF!</definedName>
    <definedName name="_______ipn6">#REF!</definedName>
    <definedName name="_______ipn7">#REF!</definedName>
    <definedName name="_______Ism3">#REF!</definedName>
    <definedName name="_______Isn1">#REF!</definedName>
    <definedName name="_______Isn2">#REF!</definedName>
    <definedName name="_______Isn22">#REF!</definedName>
    <definedName name="_______Isn3">#REF!</definedName>
    <definedName name="_______isn5">#REF!</definedName>
    <definedName name="_______ISO220">#REF!</definedName>
    <definedName name="_______kd1">#REF!</definedName>
    <definedName name="_______kd2">#REF!</definedName>
    <definedName name="_______kd3">#REF!</definedName>
    <definedName name="_______Ki1">#REF!</definedName>
    <definedName name="_______Ki2">#REF!</definedName>
    <definedName name="_______ktd1">#REF!</definedName>
    <definedName name="_______ktd2">#REF!</definedName>
    <definedName name="_______ktd3">#REF!</definedName>
    <definedName name="_______len2">#REF!</definedName>
    <definedName name="_______len5">#REF!</definedName>
    <definedName name="_______len7">#REF!</definedName>
    <definedName name="_______LMH1">#REF!</definedName>
    <definedName name="_______LMH2">#REF!</definedName>
    <definedName name="_______lvl1">#REF!</definedName>
    <definedName name="_______MAN1">#REF!</definedName>
    <definedName name="_______mcc1">#REF!</definedName>
    <definedName name="_______mcc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MB220">#REF!</definedName>
    <definedName name="_______mp1">#REF!</definedName>
    <definedName name="_______new1">#REF!</definedName>
    <definedName name="_______OPT8">#REF!</definedName>
    <definedName name="_______OPT9">#REF!</definedName>
    <definedName name="_______out2">#REF!</definedName>
    <definedName name="_______PB1">#REF!</definedName>
    <definedName name="_______pdp1">#REF!</definedName>
    <definedName name="_______pdp2">#REF!</definedName>
    <definedName name="_______pdp3">#REF!</definedName>
    <definedName name="_______pep99">#REF!</definedName>
    <definedName name="_______pfi1">#REF!</definedName>
    <definedName name="_______pp1">#REF!</definedName>
    <definedName name="_______pp2">#REF!</definedName>
    <definedName name="_______Rb1">#REF!</definedName>
    <definedName name="_______Rb2">#REF!</definedName>
    <definedName name="_______Rct1">#REF!</definedName>
    <definedName name="_______Rct2">#REF!</definedName>
    <definedName name="_______Rct3">#REF!</definedName>
    <definedName name="_______Rct5">#REF!</definedName>
    <definedName name="_______Rct6">#REF!</definedName>
    <definedName name="_______rct7">#REF!</definedName>
    <definedName name="_______rcu2">#REF!</definedName>
    <definedName name="_______Re1">#REF!</definedName>
    <definedName name="_______Rl1">#REF!</definedName>
    <definedName name="_______Rl5">#REF!</definedName>
    <definedName name="_______Rl6">#REF!</definedName>
    <definedName name="_______Rl7">#REF!</definedName>
    <definedName name="_______row1">#REF!</definedName>
    <definedName name="_______Rr1">#REF!</definedName>
    <definedName name="_______Rr2">#REF!</definedName>
    <definedName name="_______Rr3">#REF!</definedName>
    <definedName name="_______rr5">#REF!</definedName>
    <definedName name="_______rr6">#REF!</definedName>
    <definedName name="_______rr7">#REF!</definedName>
    <definedName name="_______Rs1">#REF!</definedName>
    <definedName name="_______Rsb3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ch2">#REF!</definedName>
    <definedName name="_______sch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sub11">#REF!</definedName>
    <definedName name="_______TAB1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aa5">#REF!</definedName>
    <definedName name="_______vaa6">#REF!</definedName>
    <definedName name="_______var5">#REF!</definedName>
    <definedName name="_______Var6">#REF!</definedName>
    <definedName name="_______Vf1">#N/A</definedName>
    <definedName name="_______Vf2">#N/A</definedName>
    <definedName name="_______Vk1">#REF!</definedName>
    <definedName name="_______Vk2">#REF!</definedName>
    <definedName name="_______Vk3">#REF!</definedName>
    <definedName name="_______vr1">#REF!</definedName>
    <definedName name="_______Wc1">#REF!</definedName>
    <definedName name="_______WC3">#REF!</definedName>
    <definedName name="_______wp1">#REF!</definedName>
    <definedName name="_______Wr1">#REF!</definedName>
    <definedName name="_______Wr3">#REF!</definedName>
    <definedName name="_______Xl1">#REF!</definedName>
    <definedName name="______a1">#REF!</definedName>
    <definedName name="______a2">#REF!</definedName>
    <definedName name="______a3">#REF!</definedName>
    <definedName name="______a4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cs1">#REF!</definedName>
    <definedName name="______acs2">#REF!</definedName>
    <definedName name="______adj1">#REF!</definedName>
    <definedName name="______AHP1">#REF!</definedName>
    <definedName name="______ahu1">#REF!</definedName>
    <definedName name="______ahu2">#REF!</definedName>
    <definedName name="______AST1">#REF!</definedName>
    <definedName name="______axx1">#REF!</definedName>
    <definedName name="______axx2">#REF!</definedName>
    <definedName name="______axx3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4">#REF!</definedName>
    <definedName name="______CAN2">#REF!</definedName>
    <definedName name="______CAN9">#REF!</definedName>
    <definedName name="______CCT220">#REF!</definedName>
    <definedName name="______cdd2">#REF!</definedName>
    <definedName name="______CFB1">#REF!</definedName>
    <definedName name="______CFB2">#REF!</definedName>
    <definedName name="______CFB3">#REF!</definedName>
    <definedName name="______cff2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cth2">#REF!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hidden="1">{"'Sheet1'!$A$4386:$N$4591"}</definedName>
    <definedName name="______dec05_1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IS1">#REF!</definedName>
    <definedName name="______dol11">#REF!</definedName>
    <definedName name="______drg1">#REF!</definedName>
    <definedName name="______drg2">#REF!</definedName>
    <definedName name="______eth2">#REF!</definedName>
    <definedName name="______fac1">#REF!</definedName>
    <definedName name="______fac2">#REF!</definedName>
    <definedName name="______fac3">#REF!</definedName>
    <definedName name="______Fpi1">#REF!</definedName>
    <definedName name="______hai1">#REF!</definedName>
    <definedName name="______hai2">#REF!</definedName>
    <definedName name="______HCO2">#REF!</definedName>
    <definedName name="______hfi1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fa1">#REF!</definedName>
    <definedName name="______ifa2">#REF!</definedName>
    <definedName name="______IFZ1">#REF!</definedName>
    <definedName name="______ifz13">#REF!</definedName>
    <definedName name="______INT1">#REF!</definedName>
    <definedName name="______Ipn1">#REF!</definedName>
    <definedName name="______Ipn2">#REF!</definedName>
    <definedName name="______Ipn3">#REF!</definedName>
    <definedName name="______Ipn5">#REF!</definedName>
    <definedName name="______ipn6">#REF!</definedName>
    <definedName name="______ipn7">#REF!</definedName>
    <definedName name="______Ism3">#REF!</definedName>
    <definedName name="______Isn1">#REF!</definedName>
    <definedName name="______Isn2">#REF!</definedName>
    <definedName name="______Isn22">#REF!</definedName>
    <definedName name="______Isn3">#REF!</definedName>
    <definedName name="______isn5">#REF!</definedName>
    <definedName name="______ISO22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ktd1">#REF!</definedName>
    <definedName name="______ktd2">#REF!</definedName>
    <definedName name="______ktd3">#REF!</definedName>
    <definedName name="______len2">#REF!</definedName>
    <definedName name="______len5">#REF!</definedName>
    <definedName name="______len7">#REF!</definedName>
    <definedName name="______LMH1">#REF!</definedName>
    <definedName name="______LMH2">#REF!</definedName>
    <definedName name="______lvl1">#REF!</definedName>
    <definedName name="______MAN1">#REF!</definedName>
    <definedName name="______mcc1">#REF!</definedName>
    <definedName name="______mcc2">#REF!</definedName>
    <definedName name="______mcl132">#REF!</definedName>
    <definedName name="______ml3">#REF!</definedName>
    <definedName name="______ml33">#REF!</definedName>
    <definedName name="______mlc33">#REF!</definedName>
    <definedName name="______MMB220">#REF!</definedName>
    <definedName name="______mnk1">#REF!</definedName>
    <definedName name="______mp1">#REF!</definedName>
    <definedName name="______new1">#REF!</definedName>
    <definedName name="______OPT8">#REF!</definedName>
    <definedName name="______OPT9">#REF!</definedName>
    <definedName name="______out2">#REF!</definedName>
    <definedName name="______PB1">#REF!</definedName>
    <definedName name="______pdp1">#REF!</definedName>
    <definedName name="______pdp2">#REF!</definedName>
    <definedName name="______pdp3">#REF!</definedName>
    <definedName name="______pep99">#REF!</definedName>
    <definedName name="______pfi1">#REF!</definedName>
    <definedName name="______pp1">#REF!</definedName>
    <definedName name="______pp2">#REF!</definedName>
    <definedName name="______Rb1">#REF!</definedName>
    <definedName name="______Rb2">#REF!</definedName>
    <definedName name="______Rct1">#REF!</definedName>
    <definedName name="______Rct2">#REF!</definedName>
    <definedName name="______Rct3">#REF!</definedName>
    <definedName name="______Rct5">#REF!</definedName>
    <definedName name="______Rct6">#REF!</definedName>
    <definedName name="______rct7">#REF!</definedName>
    <definedName name="______rcu2">#REF!</definedName>
    <definedName name="______Re1">#REF!</definedName>
    <definedName name="______Rl1">#REF!</definedName>
    <definedName name="______Rl5">#REF!</definedName>
    <definedName name="______Rl6">#REF!</definedName>
    <definedName name="______Rl7">#REF!</definedName>
    <definedName name="______row1">#REF!</definedName>
    <definedName name="______Rr1">#REF!</definedName>
    <definedName name="______Rr2">#REF!</definedName>
    <definedName name="______Rr3">#REF!</definedName>
    <definedName name="______rr5">#REF!</definedName>
    <definedName name="______rr6">#REF!</definedName>
    <definedName name="______rr7">#REF!</definedName>
    <definedName name="______Rs1">#REF!</definedName>
    <definedName name="______Rsb3">#REF!</definedName>
    <definedName name="______rt1">#REF!</definedName>
    <definedName name="______rt2">#REF!</definedName>
    <definedName name="______rt3">#REF!</definedName>
    <definedName name="______run1">#REF!</definedName>
    <definedName name="______run2">#REF!</definedName>
    <definedName name="______run3">#REF!</definedName>
    <definedName name="______s41" hidden="1">{"form-D1",#N/A,FALSE,"FORM-D1";"form-D1_amt",#N/A,FALSE,"FORM-D1"}</definedName>
    <definedName name="______sch2">#REF!</definedName>
    <definedName name="______sch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sub11">#REF!</definedName>
    <definedName name="______TAB1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aa5">#REF!</definedName>
    <definedName name="______vaa6">#REF!</definedName>
    <definedName name="______var5">#REF!</definedName>
    <definedName name="______Var6">#REF!</definedName>
    <definedName name="______Vf1">#REF!</definedName>
    <definedName name="______Vf2">#REF!</definedName>
    <definedName name="______Vk1">#REF!</definedName>
    <definedName name="______Vk2">#REF!</definedName>
    <definedName name="______Vk3">#REF!</definedName>
    <definedName name="______vr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a1">#REF!</definedName>
    <definedName name="_____a2">#REF!</definedName>
    <definedName name="_____a3">#REF!</definedName>
    <definedName name="_____a4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dj1">#REF!</definedName>
    <definedName name="_____AHP1">#REF!</definedName>
    <definedName name="_____ahu1">#REF!</definedName>
    <definedName name="_____ahu2">#REF!</definedName>
    <definedName name="_____AST1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4">#REF!</definedName>
    <definedName name="_____CAN2">#REF!</definedName>
    <definedName name="_____CAN9">#REF!</definedName>
    <definedName name="_____CCT220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hidden="1">{"'Sheet1'!$A$4386:$N$4591"}</definedName>
    <definedName name="_____dec05_1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IS1">#REF!</definedName>
    <definedName name="_____dol11">#REF!</definedName>
    <definedName name="_____drg1">#REF!</definedName>
    <definedName name="_____drg2">#REF!</definedName>
    <definedName name="_____eth2">#REF!</definedName>
    <definedName name="_____fac1">#REF!</definedName>
    <definedName name="_____fac2">#REF!</definedName>
    <definedName name="_____fac3">#REF!</definedName>
    <definedName name="_____Fpi1">#REF!</definedName>
    <definedName name="_____hai1">#REF!</definedName>
    <definedName name="_____hai2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fa1">#REF!</definedName>
    <definedName name="_____ifa2">#REF!</definedName>
    <definedName name="_____IFZ1">#REF!</definedName>
    <definedName name="_____ifz13">#REF!</definedName>
    <definedName name="_____INT1">#REF!</definedName>
    <definedName name="_____Ipn1">#REF!</definedName>
    <definedName name="_____Ipn2">#REF!</definedName>
    <definedName name="_____Ipn3">#REF!</definedName>
    <definedName name="_____Ipn5">#REF!</definedName>
    <definedName name="_____ipn6">#REF!</definedName>
    <definedName name="_____ipn7">#REF!</definedName>
    <definedName name="_____Ism3">#REF!</definedName>
    <definedName name="_____Isn1">#REF!</definedName>
    <definedName name="_____Isn2">#REF!</definedName>
    <definedName name="_____Isn22">#REF!</definedName>
    <definedName name="_____Isn3">#REF!</definedName>
    <definedName name="_____isn5">#REF!</definedName>
    <definedName name="_____ISO22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ktd1">#REF!</definedName>
    <definedName name="_____ktd2">#REF!</definedName>
    <definedName name="_____ktd3">#REF!</definedName>
    <definedName name="_____len2">#REF!</definedName>
    <definedName name="_____len5">#REF!</definedName>
    <definedName name="_____len7">#REF!</definedName>
    <definedName name="_____LMH1">#REF!</definedName>
    <definedName name="_____LMH2">#REF!</definedName>
    <definedName name="_____lvl1">#REF!</definedName>
    <definedName name="_____MAN1">#REF!</definedName>
    <definedName name="_____mcc1">#REF!</definedName>
    <definedName name="_____mcc2">#REF!</definedName>
    <definedName name="_____mcl132">#REF!</definedName>
    <definedName name="_____ml3">#REF!</definedName>
    <definedName name="_____ml33">#REF!</definedName>
    <definedName name="_____mlc33">#REF!</definedName>
    <definedName name="_____MMB220">#REF!</definedName>
    <definedName name="_____mnk1">#REF!</definedName>
    <definedName name="_____mp1">#REF!</definedName>
    <definedName name="_____new1">#REF!</definedName>
    <definedName name="_____OPT8">#REF!</definedName>
    <definedName name="_____OPT9">#REF!</definedName>
    <definedName name="_____out2">#REF!</definedName>
    <definedName name="_____pan1">#REF!</definedName>
    <definedName name="_____PAN2">#REF!</definedName>
    <definedName name="_____PB1">#REF!</definedName>
    <definedName name="_____pdp1">#REF!</definedName>
    <definedName name="_____pdp2">#REF!</definedName>
    <definedName name="_____pdp3">#REF!</definedName>
    <definedName name="_____pep99">#REF!</definedName>
    <definedName name="_____pfi1">#REF!</definedName>
    <definedName name="_____pp1">#REF!</definedName>
    <definedName name="_____pp2">#REF!</definedName>
    <definedName name="_____Rb1">#REF!</definedName>
    <definedName name="_____Rb2">#REF!</definedName>
    <definedName name="_____Rct1">#REF!</definedName>
    <definedName name="_____Rct2">#REF!</definedName>
    <definedName name="_____Rct3">#REF!</definedName>
    <definedName name="_____Rct5">#REF!</definedName>
    <definedName name="_____Rct6">#REF!</definedName>
    <definedName name="_____rct7">#REF!</definedName>
    <definedName name="_____rcu2">#REF!</definedName>
    <definedName name="_____Re1">#REF!</definedName>
    <definedName name="_____Rl1">#REF!</definedName>
    <definedName name="_____Rl5">#REF!</definedName>
    <definedName name="_____Rl6">#REF!</definedName>
    <definedName name="_____Rl7">#REF!</definedName>
    <definedName name="_____row1">#REF!</definedName>
    <definedName name="_____Rr1">#REF!</definedName>
    <definedName name="_____Rr2">#REF!</definedName>
    <definedName name="_____Rr3">#REF!</definedName>
    <definedName name="_____rr5">#REF!</definedName>
    <definedName name="_____rr6">#REF!</definedName>
    <definedName name="_____rr7">#REF!</definedName>
    <definedName name="_____Rs1">#REF!</definedName>
    <definedName name="_____Rsb3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hidden="1">{"form-D1",#N/A,FALSE,"FORM-D1";"form-D1_amt",#N/A,FALSE,"FORM-D1"}</definedName>
    <definedName name="_____sch2">#REF!</definedName>
    <definedName name="_____sch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sub11">#REF!</definedName>
    <definedName name="_____TAB1">#REF!</definedName>
    <definedName name="_____TER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aa5">#REF!</definedName>
    <definedName name="_____vaa6">#REF!</definedName>
    <definedName name="_____var5">#REF!</definedName>
    <definedName name="_____Var6">#REF!</definedName>
    <definedName name="_____Vf1">#REF!</definedName>
    <definedName name="_____Vf2">#REF!</definedName>
    <definedName name="_____Vk1">#REF!</definedName>
    <definedName name="_____Vk2">#REF!</definedName>
    <definedName name="_____Vk3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wrm1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_____Xl1">#REF!</definedName>
    <definedName name="____a1">#REF!</definedName>
    <definedName name="____a2">#REF!</definedName>
    <definedName name="____a3">#REF!</definedName>
    <definedName name="____a4">#REF!</definedName>
    <definedName name="____a5">#REF!</definedName>
    <definedName name="____a6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dj1">#REF!</definedName>
    <definedName name="____AHP1">#REF!</definedName>
    <definedName name="____ahu1">#REF!</definedName>
    <definedName name="____ahu2">#REF!</definedName>
    <definedName name="____AST1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4">#REF!</definedName>
    <definedName name="____CAN2">#REF!</definedName>
    <definedName name="____CAN9">#REF!</definedName>
    <definedName name="____CCT220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VT220">#REF!</definedName>
    <definedName name="____d5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hidden="1">{"'Sheet1'!$A$4386:$N$4591"}</definedName>
    <definedName name="____dec05_1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IS1">#REF!</definedName>
    <definedName name="____DKT75">#REF!</definedName>
    <definedName name="____dol11">#REF!</definedName>
    <definedName name="____drg1">#REF!</definedName>
    <definedName name="____drg2">#REF!</definedName>
    <definedName name="____eth2">#REF!</definedName>
    <definedName name="____fac1">#REF!</definedName>
    <definedName name="____fac2">#REF!</definedName>
    <definedName name="____fac3">#REF!</definedName>
    <definedName name="____Fpi1">#REF!</definedName>
    <definedName name="____hai1">#REF!</definedName>
    <definedName name="____hai2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FZ1">#REF!</definedName>
    <definedName name="____ifz13">#REF!</definedName>
    <definedName name="____INT1">#REF!</definedName>
    <definedName name="____Ipn1">#REF!</definedName>
    <definedName name="____Ipn2">#REF!</definedName>
    <definedName name="____Ipn3">#REF!</definedName>
    <definedName name="____Ipn5">#REF!</definedName>
    <definedName name="____ipn6">#REF!</definedName>
    <definedName name="____ipn7">#REF!</definedName>
    <definedName name="____Ism3">#REF!</definedName>
    <definedName name="____Isn1">#REF!</definedName>
    <definedName name="____Isn2">#REF!</definedName>
    <definedName name="____Isn22">#REF!</definedName>
    <definedName name="____Isn3">#REF!</definedName>
    <definedName name="____isn5">#REF!</definedName>
    <definedName name="____ISO220">#REF!</definedName>
    <definedName name="____kd1">#REF!</definedName>
    <definedName name="____kd2">#REF!</definedName>
    <definedName name="____kd3">#REF!</definedName>
    <definedName name="____KEY3" hidden="1">#REF!</definedName>
    <definedName name="____Ki1">#REF!</definedName>
    <definedName name="____Ki2">#REF!</definedName>
    <definedName name="____ktd1">#REF!</definedName>
    <definedName name="____ktd2">#REF!</definedName>
    <definedName name="____ktd3">#REF!</definedName>
    <definedName name="____len2">#REF!</definedName>
    <definedName name="____len5">#REF!</definedName>
    <definedName name="____len7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vl1">#REF!</definedName>
    <definedName name="____MAN1">#REF!</definedName>
    <definedName name="____mcc1">#REF!</definedName>
    <definedName name="____mcc2">#REF!</definedName>
    <definedName name="____mcl132">#REF!</definedName>
    <definedName name="____ml3">#REF!</definedName>
    <definedName name="____ml33">#REF!</definedName>
    <definedName name="____mlc33">#REF!</definedName>
    <definedName name="____MMB220">#REF!</definedName>
    <definedName name="____mnk1">#REF!</definedName>
    <definedName name="____mp1">#REF!</definedName>
    <definedName name="____new1">#REF!</definedName>
    <definedName name="____nt75">#REF!</definedName>
    <definedName name="____OPT8">#REF!</definedName>
    <definedName name="____OPT9">#REF!</definedName>
    <definedName name="____out2">#REF!</definedName>
    <definedName name="____pan1">#REF!</definedName>
    <definedName name="____PAN2">#REF!</definedName>
    <definedName name="____PB1">#REF!</definedName>
    <definedName name="____pdp1">#REF!</definedName>
    <definedName name="____pdp2">#REF!</definedName>
    <definedName name="____pdp3">#REF!</definedName>
    <definedName name="____pep99">#REF!</definedName>
    <definedName name="____pfi1">#REF!</definedName>
    <definedName name="____pp1">#REF!</definedName>
    <definedName name="____pp2">#REF!</definedName>
    <definedName name="____Rb1">#REF!</definedName>
    <definedName name="____Rb2">#REF!</definedName>
    <definedName name="____Rct1">#REF!</definedName>
    <definedName name="____Rct2">#REF!</definedName>
    <definedName name="____Rct3">#REF!</definedName>
    <definedName name="____Rct5">#REF!</definedName>
    <definedName name="____Rct6">#REF!</definedName>
    <definedName name="____rct7">#REF!</definedName>
    <definedName name="____rcu2">#REF!</definedName>
    <definedName name="____Re1">#REF!</definedName>
    <definedName name="____Rl1">#REF!</definedName>
    <definedName name="____Rl5">#REF!</definedName>
    <definedName name="____Rl6">#REF!</definedName>
    <definedName name="____Rl7">#REF!</definedName>
    <definedName name="____row1">#REF!</definedName>
    <definedName name="____Rr1">#REF!</definedName>
    <definedName name="____Rr2">#REF!</definedName>
    <definedName name="____Rr3">#REF!</definedName>
    <definedName name="____rr5">#REF!</definedName>
    <definedName name="____rr6">#REF!</definedName>
    <definedName name="____rr7">#REF!</definedName>
    <definedName name="____Rs1">#REF!</definedName>
    <definedName name="____Rsb3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ch2">#REF!</definedName>
    <definedName name="____sch9">#REF!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sub11">#REF!</definedName>
    <definedName name="____TAB1">#REF!</definedName>
    <definedName name="____te1">#REF!</definedName>
    <definedName name="____TER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75">#REF!</definedName>
    <definedName name="____trt75">#REF!</definedName>
    <definedName name="____tt75">#REF!</definedName>
    <definedName name="____vaa5">#REF!</definedName>
    <definedName name="____vaa6">#REF!</definedName>
    <definedName name="____var5">#REF!</definedName>
    <definedName name="____Var6">#REF!</definedName>
    <definedName name="____Vf1">#REF!</definedName>
    <definedName name="____Vf2">#REF!</definedName>
    <definedName name="____Vk1">#REF!</definedName>
    <definedName name="____Vk2">#REF!</definedName>
    <definedName name="____Vk3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wrm1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____Xl1">#REF!</definedName>
    <definedName name="___a1">#REF!</definedName>
    <definedName name="___A2">#REF!</definedName>
    <definedName name="___a5">#N/A</definedName>
    <definedName name="___a6">#N/A</definedName>
    <definedName name="___A65537">#REF!</definedName>
    <definedName name="___A655600">#REF!</definedName>
    <definedName name="___a655601">#REF!</definedName>
    <definedName name="___a999999">#REF!</definedName>
    <definedName name="___aba2">#REF!</definedName>
    <definedName name="___acs1">#REF!</definedName>
    <definedName name="___acs2">#REF!</definedName>
    <definedName name="___adj1">#REF!</definedName>
    <definedName name="___AHP1">#REF!</definedName>
    <definedName name="___ahu1">#REF!</definedName>
    <definedName name="___ahu2">#REF!</definedName>
    <definedName name="___AST1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om1">#REF!</definedName>
    <definedName name="___BoQ4">#REF!</definedName>
    <definedName name="___BOQ6">#REF!</definedName>
    <definedName name="___buh11">#REF!</definedName>
    <definedName name="___CAN2">#REF!</definedName>
    <definedName name="___CAN9">#REF!</definedName>
    <definedName name="___CCT220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VT220">#REF!</definedName>
    <definedName name="___d5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hidden="1">{"'Sheet1'!$A$4386:$N$4591"}</definedName>
    <definedName name="___dec05_1" hidden="1">{"'Sheet1'!$A$4386:$N$4591"}</definedName>
    <definedName name="___DEF1">#REF!</definedName>
    <definedName name="___DEF2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im4">#REF!</definedName>
    <definedName name="___DIS1">#REF!</definedName>
    <definedName name="___DKT75">#REF!</definedName>
    <definedName name="___dol11">#REF!</definedName>
    <definedName name="___drg1">#REF!</definedName>
    <definedName name="___drg2">#REF!</definedName>
    <definedName name="___eth2">#REF!</definedName>
    <definedName name="___fac1">#REF!</definedName>
    <definedName name="___fac2">#REF!</definedName>
    <definedName name="___fac3">#REF!</definedName>
    <definedName name="___Fpi1">#REF!</definedName>
    <definedName name="___H13" hidden="1">{"Lpor",#N/A,FALSE,"Porta";"LRDOS1",#N/A,FALSE,"Rdos";"LRDOS2",#N/A,FALSE,"Rdos";"LBAL1",#N/A,FALSE,"Bala";"LTES1",#N/A,FALSE,"Teso"}</definedName>
    <definedName name="___hai1">#REF!</definedName>
    <definedName name="___hai2">#REF!</definedName>
    <definedName name="___HCO2">#REF!</definedName>
    <definedName name="___hfi04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hxf1">#REF!</definedName>
    <definedName name="___ifa1">#REF!</definedName>
    <definedName name="___ifa2">#REF!</definedName>
    <definedName name="___IFZ1">#REF!</definedName>
    <definedName name="___ifz13">#REF!</definedName>
    <definedName name="___INT1">#REF!</definedName>
    <definedName name="___Ipn1">#REF!</definedName>
    <definedName name="___Ipn2">#REF!</definedName>
    <definedName name="___Ipn3">#REF!</definedName>
    <definedName name="___Ipn5">#REF!</definedName>
    <definedName name="___ipn6">#REF!</definedName>
    <definedName name="___ipn7">#REF!</definedName>
    <definedName name="___Ism3">#REF!</definedName>
    <definedName name="___Isn1">#REF!</definedName>
    <definedName name="___Isn2">#REF!</definedName>
    <definedName name="___Isn22">#REF!</definedName>
    <definedName name="___Isn3">#REF!</definedName>
    <definedName name="___isn5">#REF!</definedName>
    <definedName name="___ISO22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ktd1">#REF!</definedName>
    <definedName name="___ktd2">#REF!</definedName>
    <definedName name="___ktd3">#REF!</definedName>
    <definedName name="___len2">#REF!</definedName>
    <definedName name="___len5">#REF!</definedName>
    <definedName name="___len7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vl1">#REF!</definedName>
    <definedName name="___MAN1">#REF!</definedName>
    <definedName name="___MB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MB220">#REF!</definedName>
    <definedName name="___mnk1">#REF!</definedName>
    <definedName name="___mp1">#REF!</definedName>
    <definedName name="___new1">#REF!</definedName>
    <definedName name="___nt75">#REF!</definedName>
    <definedName name="___OPT8">#REF!</definedName>
    <definedName name="___OPT9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>#REF!</definedName>
    <definedName name="___pfi1">#REF!</definedName>
    <definedName name="___pp1">#REF!</definedName>
    <definedName name="___pp2">#REF!</definedName>
    <definedName name="___Rb1">#REF!</definedName>
    <definedName name="___Rb2">#REF!</definedName>
    <definedName name="___Rct1">#REF!</definedName>
    <definedName name="___Rct2">#REF!</definedName>
    <definedName name="___Rct3">#REF!</definedName>
    <definedName name="___Rct5">#REF!</definedName>
    <definedName name="___Rct6">#REF!</definedName>
    <definedName name="___rct7">#REF!</definedName>
    <definedName name="___rcu2">#REF!</definedName>
    <definedName name="___Re1">#REF!</definedName>
    <definedName name="___Rl1">#REF!</definedName>
    <definedName name="___Rl5">#REF!</definedName>
    <definedName name="___Rl6">#REF!</definedName>
    <definedName name="___Rl7">#REF!</definedName>
    <definedName name="___rm4">#REF!</definedName>
    <definedName name="___row1">#REF!</definedName>
    <definedName name="___Rr1">#REF!</definedName>
    <definedName name="___Rr2">#REF!</definedName>
    <definedName name="___Rr3">#REF!</definedName>
    <definedName name="___rr5">#REF!</definedName>
    <definedName name="___rr6">#REF!</definedName>
    <definedName name="___rr7">#REF!</definedName>
    <definedName name="___Rs1">#REF!</definedName>
    <definedName name="___Rsb3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1">#REF!</definedName>
    <definedName name="___s2">#REF!</definedName>
    <definedName name="___s3">#REF!</definedName>
    <definedName name="___s41" hidden="1">{"form-D1",#N/A,FALSE,"FORM-D1";"form-D1_amt",#N/A,FALSE,"FORM-D1"}</definedName>
    <definedName name="___sch2">#REF!</definedName>
    <definedName name="___sch9">#REF!</definedName>
    <definedName name="___SE1">#REF!</definedName>
    <definedName name="___SET1">#REF!</definedName>
    <definedName name="___SET2">#REF!</definedName>
    <definedName name="___SET21">#REF!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sub11">#REF!</definedName>
    <definedName name="___TAB1">#REF!</definedName>
    <definedName name="___TB2">#REF!</definedName>
    <definedName name="___te1">#REF!</definedName>
    <definedName name="___TER1">#REF!</definedName>
    <definedName name="___thinkcellvbgF5HYXXUSvO4_HLx8IDg" hidden="1">#REF!</definedName>
    <definedName name="___thinkcellWUMAAAAAAAABAAAA2EuRoHp3XE2hFqTQWHA0Cw" hidden="1">#REF!</definedName>
    <definedName name="___thinkcellWUMAAAAAAAABAAAA3fHy9EH27EKDdiofk_XURA" hidden="1">#REF!</definedName>
    <definedName name="___thinkcellWUMAAAAAAAABAAAACdR.lOiNhU2dKqQuD2mZXQ" hidden="1">#REF!</definedName>
    <definedName name="___thinkcellWUMAAAAAAAABAAAAHOFjHdHlrUqiec2uV20d_Q" hidden="1">#REF!</definedName>
    <definedName name="___thinkcellWUMAAAAAAAABAAAAiCdJyoRMwUe.Cugum4ZFYg" hidden="1">#REF!</definedName>
    <definedName name="___thinkcellWUMAAAAAAAABAAAAjPn3tY3DkEuoWiL8V_fJpQ" hidden="1">#REF!</definedName>
    <definedName name="___thinkcellWUMAAAAAAAABAAAAramZMdzMLUipNRS9F0yFFg" hidden="1">#REF!</definedName>
    <definedName name="___thinkcellWUMAAAAAAAABAAAASeoifkvVXU6Z9O0P5VVTYQ" hidden="1">#REF!</definedName>
    <definedName name="___thinkcellWUMAAAAAAAABAAAAxKzueWAAf0.pAsfEIl1U4g" hidden="1">#REF!</definedName>
    <definedName name="___thinkcellWUMAAAAAAAABAAAAZcCRITnJMEKEAz8CBYb_Dw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75">#REF!</definedName>
    <definedName name="___trt75">#REF!</definedName>
    <definedName name="___tt75">#REF!</definedName>
    <definedName name="___vaa5">#REF!</definedName>
    <definedName name="___vaa6">#REF!</definedName>
    <definedName name="___var5">#REF!</definedName>
    <definedName name="___Var6">#REF!</definedName>
    <definedName name="___Vf1">#REF!</definedName>
    <definedName name="___Vf2">#REF!</definedName>
    <definedName name="___Vk1">#REF!</definedName>
    <definedName name="___Vk2">#REF!</definedName>
    <definedName name="___Vk3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wrm1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___Xl1">#REF!</definedName>
    <definedName name="__10Excel_BuiltIn_Print_Titles_6_1_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Excel_BuiltIn_Print_Area_4_1">#REF!</definedName>
    <definedName name="__1Excel_BuiltIn_Print_Titles_5_1_1">#REF!</definedName>
    <definedName name="__2Excel_BuiltIn_Print_Area_4_1_1">#REF!</definedName>
    <definedName name="__2Excel_BuiltIn_Print_Titles_6_1_1">#REF!</definedName>
    <definedName name="__3Excel_BuiltIn_Print_Area_4_1_1_1">#REF!</definedName>
    <definedName name="__4Excel_BuiltIn_Print_Area_4_1_1_1_1">#REF!</definedName>
    <definedName name="__5Excel_BuiltIn_Print_Area_4_1_1_1_1_1">#REF!</definedName>
    <definedName name="__5Excel_BuiltIn_Print_Titles_5_1_1">#REF!</definedName>
    <definedName name="__6Excel_BuiltIn_Print_Titles_4_1">#REF!</definedName>
    <definedName name="__a1">#REF!</definedName>
    <definedName name="__A13">#REF!</definedName>
    <definedName name="__A2">#REF!</definedName>
    <definedName name="__a5">#N/A</definedName>
    <definedName name="__a6">#N/A</definedName>
    <definedName name="__A65537">#REF!</definedName>
    <definedName name="__A655600">#REF!</definedName>
    <definedName name="__a655601">#REF!</definedName>
    <definedName name="__a999999">#REF!</definedName>
    <definedName name="__aba2">#REF!</definedName>
    <definedName name="__acs1">#REF!</definedName>
    <definedName name="__acs2">#REF!</definedName>
    <definedName name="__adj1">#REF!</definedName>
    <definedName name="__AHP1">#REF!</definedName>
    <definedName name="__ahu1">#REF!</definedName>
    <definedName name="__ahu2">#REF!</definedName>
    <definedName name="__AST1">#REF!</definedName>
    <definedName name="__AUX1">#REF!</definedName>
    <definedName name="__AUX111">#REF!</definedName>
    <definedName name="__AUX2">#REF!</definedName>
    <definedName name="__AUX3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17000">#REF!</definedName>
    <definedName name="__b18000">#REF!</definedName>
    <definedName name="__b19536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R1">#REF!</definedName>
    <definedName name="__bom1">#REF!</definedName>
    <definedName name="__bom2">#REF!</definedName>
    <definedName name="__BoQ4">#REF!</definedName>
    <definedName name="__buh11">#REF!</definedName>
    <definedName name="__CAN2">#REF!</definedName>
    <definedName name="__CAN9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om1">#REF!</definedName>
    <definedName name="__Com2">#REF!</definedName>
    <definedName name="__cth2">#REF!</definedName>
    <definedName name="__CVT220">#REF!</definedName>
    <definedName name="__d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hidden="1">{"'Sheet1'!$A$4386:$N$4591"}</definedName>
    <definedName name="__dec05_1" hidden="1">{"'Sheet1'!$A$4386:$N$4591"}</definedName>
    <definedName name="__DEF1">#REF!</definedName>
    <definedName name="__DEF2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im4">#REF!</definedName>
    <definedName name="__DIS1">#REF!</definedName>
    <definedName name="__DKT75">#REF!</definedName>
    <definedName name="__doc1">#REF!</definedName>
    <definedName name="__dol11">#REF!</definedName>
    <definedName name="__drg1">#REF!</definedName>
    <definedName name="__drg2">#REF!</definedName>
    <definedName name="__EdFJsKAA">#REF!</definedName>
    <definedName name="__eth2">#REF!</definedName>
    <definedName name="__fac1">#REF!</definedName>
    <definedName name="__fac2">#REF!</definedName>
    <definedName name="__fac3">#REF!</definedName>
    <definedName name="__fcl1">#REF!</definedName>
    <definedName name="__Fpi1">#REF!</definedName>
    <definedName name="__gus1">#REF!</definedName>
    <definedName name="__H13" hidden="1">{"Lpor",#N/A,FALSE,"Porta";"LRDOS1",#N/A,FALSE,"Rdos";"LRDOS2",#N/A,FALSE,"Rdos";"LBAL1",#N/A,FALSE,"Bala";"LTES1",#N/A,FALSE,"Teso"}</definedName>
    <definedName name="__hai1">#REF!</definedName>
    <definedName name="__hai2">#REF!</definedName>
    <definedName name="__HCO2">#REF!</definedName>
    <definedName name="__hfi04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pm1">#REF!</definedName>
    <definedName name="__Hra2">#REF!</definedName>
    <definedName name="__Hso2">#REF!</definedName>
    <definedName name="__Hso3">#REF!</definedName>
    <definedName name="__hxa1">#REF!</definedName>
    <definedName name="__hxa1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FZ1">#REF!</definedName>
    <definedName name="__ifz13">#REF!</definedName>
    <definedName name="__INT1">#REF!</definedName>
    <definedName name="__IntlFixup">TRUE</definedName>
    <definedName name="__Ipn1">#REF!</definedName>
    <definedName name="__Ipn2">#REF!</definedName>
    <definedName name="__Ipn3">#REF!</definedName>
    <definedName name="__Ipn5">#REF!</definedName>
    <definedName name="__ipn6">#REF!</definedName>
    <definedName name="__ipn7">#REF!</definedName>
    <definedName name="__Ism3">#REF!</definedName>
    <definedName name="__Isn1">#REF!</definedName>
    <definedName name="__Isn2">#REF!</definedName>
    <definedName name="__Isn22">#REF!</definedName>
    <definedName name="__Isn3">#REF!</definedName>
    <definedName name="__isn5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td1">#REF!</definedName>
    <definedName name="__ktd2">#REF!</definedName>
    <definedName name="__ktd3">#REF!</definedName>
    <definedName name="__lcn1">#REF!</definedName>
    <definedName name="__len2">#REF!</definedName>
    <definedName name="__len5">#REF!</definedName>
    <definedName name="__len7">#REF!</definedName>
    <definedName name="__lm1">#REF!</definedName>
    <definedName name="__LMH1">#REF!</definedName>
    <definedName name="__LMH2">#REF!</definedName>
    <definedName name="__LNK1">#REF!</definedName>
    <definedName name="__LNK10">#REF!</definedName>
    <definedName name="__LNK11">#REF!</definedName>
    <definedName name="__LNK12">#REF!</definedName>
    <definedName name="__LNK13">#REF!</definedName>
    <definedName name="__LNK136">#REF!</definedName>
    <definedName name="__LNK137">#REF!</definedName>
    <definedName name="__LNK14">#REF!</definedName>
    <definedName name="__LNK15">#REF!</definedName>
    <definedName name="__LNK16">#REF!</definedName>
    <definedName name="__LNK17">#REF!</definedName>
    <definedName name="__LNK18">#REF!</definedName>
    <definedName name="__LNK19">#REF!</definedName>
    <definedName name="__LNK2">#REF!</definedName>
    <definedName name="__LNK20">#REF!</definedName>
    <definedName name="__LNK21">#REF!</definedName>
    <definedName name="__LNK22">#REF!</definedName>
    <definedName name="__LNK23">#REF!</definedName>
    <definedName name="__LNK24">#REF!</definedName>
    <definedName name="__LNK25">#REF!</definedName>
    <definedName name="__LNK26">#REF!</definedName>
    <definedName name="__LNK27">#REF!</definedName>
    <definedName name="__LNK28">#REF!</definedName>
    <definedName name="__LNK29">#REF!</definedName>
    <definedName name="__LNK3">#REF!</definedName>
    <definedName name="__LNK30">#REF!</definedName>
    <definedName name="__LNK31">#REF!</definedName>
    <definedName name="__LNK32">#REF!</definedName>
    <definedName name="__LNK33">#REF!</definedName>
    <definedName name="__LNK34">#REF!</definedName>
    <definedName name="__LNK35">#REF!</definedName>
    <definedName name="__LNK36">#REF!</definedName>
    <definedName name="__LNK37">#REF!</definedName>
    <definedName name="__LNK38">#REF!</definedName>
    <definedName name="__LNK39">#REF!</definedName>
    <definedName name="__LNK4">#REF!</definedName>
    <definedName name="__LNK40">#REF!</definedName>
    <definedName name="__LNK41">#REF!</definedName>
    <definedName name="__LNK42">#REF!</definedName>
    <definedName name="__LNK43">#REF!</definedName>
    <definedName name="__LNK44">#REF!</definedName>
    <definedName name="__LNK45">#REF!</definedName>
    <definedName name="__LNK46">#REF!</definedName>
    <definedName name="__LNK47">#REF!</definedName>
    <definedName name="__LNK48">#REF!</definedName>
    <definedName name="__LNK49">#REF!</definedName>
    <definedName name="__LNK5">#REF!</definedName>
    <definedName name="__LNK50">#REF!</definedName>
    <definedName name="__LNK51">#REF!</definedName>
    <definedName name="__LNK52">#REF!</definedName>
    <definedName name="__LNK53">#REF!</definedName>
    <definedName name="__LNK54">#REF!</definedName>
    <definedName name="__LNK55">#REF!</definedName>
    <definedName name="__LNK56">#REF!</definedName>
    <definedName name="__LNK57">#REF!</definedName>
    <definedName name="__LNK6">#REF!</definedName>
    <definedName name="__LNK7">#REF!</definedName>
    <definedName name="__LNK8">#REF!</definedName>
    <definedName name="__LNK9">#REF!</definedName>
    <definedName name="__ls1">#REF!</definedName>
    <definedName name="__ls2">#REF!</definedName>
    <definedName name="__ls3">#REF!</definedName>
    <definedName name="__ls4">#REF!</definedName>
    <definedName name="__lvl1">#REF!</definedName>
    <definedName name="__Lx1">#REF!</definedName>
    <definedName name="__MAN1">#REF!</definedName>
    <definedName name="__MB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b1">#REF!</definedName>
    <definedName name="__nb2">#REF!</definedName>
    <definedName name="__new1">#REF!</definedName>
    <definedName name="__nt75">#REF!</definedName>
    <definedName name="__OPT8">#REF!</definedName>
    <definedName name="__OPT9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#REF!</definedName>
    <definedName name="__pp1">#REF!</definedName>
    <definedName name="__pp2">#REF!</definedName>
    <definedName name="__Rb1">#REF!</definedName>
    <definedName name="__Rb2">#REF!</definedName>
    <definedName name="__Rct1">#REF!</definedName>
    <definedName name="__Rct2">#REF!</definedName>
    <definedName name="__Rct3">#REF!</definedName>
    <definedName name="__Rct5">#REF!</definedName>
    <definedName name="__Rct6">#REF!</definedName>
    <definedName name="__rct7">#REF!</definedName>
    <definedName name="__rcu2">#REF!</definedName>
    <definedName name="__Re1">#REF!</definedName>
    <definedName name="__Rl1">#REF!</definedName>
    <definedName name="__Rl5">#REF!</definedName>
    <definedName name="__Rl6">#REF!</definedName>
    <definedName name="__Rl7">#REF!</definedName>
    <definedName name="__rm4">#REF!</definedName>
    <definedName name="__row1">#REF!</definedName>
    <definedName name="__row2">#REF!</definedName>
    <definedName name="__Rr1">#REF!</definedName>
    <definedName name="__Rr2">#REF!</definedName>
    <definedName name="__Rr3">#REF!</definedName>
    <definedName name="__rr5">#REF!</definedName>
    <definedName name="__rr6">#REF!</definedName>
    <definedName name="__rr7">#REF!</definedName>
    <definedName name="__Rs1">#REF!</definedName>
    <definedName name="__Rsb3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ch2">#REF!</definedName>
    <definedName name="__sch9">#REF!</definedName>
    <definedName name="__SE1">#REF!</definedName>
    <definedName name="__SET1">#REF!</definedName>
    <definedName name="__SET2">#REF!</definedName>
    <definedName name="__SET21">#REF!</definedName>
    <definedName name="__SI1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p2">#REF!</definedName>
    <definedName name="__SP620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sub11">#REF!</definedName>
    <definedName name="__sw1">#REF!</definedName>
    <definedName name="__t1">#REF!</definedName>
    <definedName name="__TAB1">#REF!</definedName>
    <definedName name="__TB2">#REF!</definedName>
    <definedName name="__te1">#REF!</definedName>
    <definedName name="__TER1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U11" hidden="1">#REF!</definedName>
    <definedName name="__us1">#REF!</definedName>
    <definedName name="__vaa5">#REF!</definedName>
    <definedName name="__vaa6">#REF!</definedName>
    <definedName name="__var5">#REF!</definedName>
    <definedName name="__Var6">#REF!</definedName>
    <definedName name="__Vf1">#REF!</definedName>
    <definedName name="__Vf2">#REF!</definedName>
    <definedName name="__Vk1">#REF!</definedName>
    <definedName name="__Vk2">#REF!</definedName>
    <definedName name="__Vk3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m1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__Xl1">#REF!</definedName>
    <definedName name="__xlfn_BAHTTEXT">NA()</definedName>
    <definedName name="__xlfn_COUNTIFS">NA()</definedName>
    <definedName name="_0">#REF!</definedName>
    <definedName name="_0___0">#REF!</definedName>
    <definedName name="_033">#REF!</definedName>
    <definedName name="_066">#REF!</definedName>
    <definedName name="_1">#REF!</definedName>
    <definedName name="_1__Xl1">#REF!</definedName>
    <definedName name="_1_Excel_BuiltIn_Print_Area_2_1_1">#REF!</definedName>
    <definedName name="_10__Excel_BuiltIn_Print_Titles_6_1_1">#REF!</definedName>
    <definedName name="_10Excel_BuiltIn_Print_Titles_6_1_1">#REF!</definedName>
    <definedName name="_11BS">#REF!</definedName>
    <definedName name="_12BS">#REF!</definedName>
    <definedName name="_12Excel_BuiltIn_Print_Titles_6_1_1">#REF!</definedName>
    <definedName name="_132">#REF!</definedName>
    <definedName name="_13BS">#REF!</definedName>
    <definedName name="_14BS">#REF!</definedName>
    <definedName name="_14Excel_BuiltIn_Print_Titles_6_1_1">#REF!</definedName>
    <definedName name="_15_Excel_BuiltIn_Print_Titles_5_1_1">#REF!</definedName>
    <definedName name="_15BS">#REF!</definedName>
    <definedName name="_16BS">#REF!</definedName>
    <definedName name="_16Excel_BuiltIn_Print_Titles_6_1_1">#REF!</definedName>
    <definedName name="_1Excel_BuiltIn_Print_Area_1_1">#REF!</definedName>
    <definedName name="_1Excel_BuiltIn_Print_Area_4_1">#REF!</definedName>
    <definedName name="_1Excel_BuiltIn_Print_Titles_5_1_1">#REF!</definedName>
    <definedName name="_2__Xl1">#REF!</definedName>
    <definedName name="_20_Excel_BuiltIn_Print_Titles_6_1_1">#REF!</definedName>
    <definedName name="_27Certificate_Printout">#REF!</definedName>
    <definedName name="_27Excel_BuiltIn_Print_Titles_5_1_1">#REF!</definedName>
    <definedName name="_2Excel_BuiltIn_Print_Area_3_1">#REF!</definedName>
    <definedName name="_2Excel_BuiltIn_Print_Area_4_1_1">#REF!</definedName>
    <definedName name="_2Excel_BuiltIn_Print_Titles_5_1_1">#REF!</definedName>
    <definedName name="_2Excel_BuiltIn_Print_Titles_6_1_1">#REF!</definedName>
    <definedName name="_3">#REF!</definedName>
    <definedName name="_34Excel_BuiltIn_Print_Titles_6_1_1">#REF!</definedName>
    <definedName name="_3Excel_BuiltIn_Print_Area_4_1_1_1">#REF!</definedName>
    <definedName name="_3Excel_BuiltIn_Print_Titles_3_1">#REF!</definedName>
    <definedName name="_3Excel_BuiltIn_Print_Titles_5_1_1">#REF!</definedName>
    <definedName name="_4">#REF!</definedName>
    <definedName name="_4Excel_BuiltIn_Print_Area_4_1_1_1_1">#REF!</definedName>
    <definedName name="_4Excel_BuiltIn_Print_Titles_5_1_1">#REF!</definedName>
    <definedName name="_4Excel_BuiltIn_Print_Titles_6_1_1">#REF!</definedName>
    <definedName name="_5__Excel_BuiltIn_Print_Titles_5_1_1">#REF!</definedName>
    <definedName name="_54Certificate_Turnaround">#REF!</definedName>
    <definedName name="_5Excel_BuiltIn_Print_Area_4_1_1_1_1_1">#REF!</definedName>
    <definedName name="_5Excel_BuiltIn_Print_Titles_5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7Excel_BuiltIn_Print_Titles_5_1_1">#REF!</definedName>
    <definedName name="_8Excel_BuiltIn_Print_Titles_5_1_1">#REF!</definedName>
    <definedName name="_8Excel_BuiltIn_Print_Titles_6_1_1">#REF!</definedName>
    <definedName name="_A">#REF!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aa5">#REF!</definedName>
    <definedName name="_aba2">#REF!</definedName>
    <definedName name="_acs1">#REF!</definedName>
    <definedName name="_acs2">#REF!</definedName>
    <definedName name="_adj1">#REF!</definedName>
    <definedName name="_AHP1">#REF!</definedName>
    <definedName name="_ahu1">#REF!</definedName>
    <definedName name="_ahu2">#REF!</definedName>
    <definedName name="_AST1">#REF!</definedName>
    <definedName name="_AUX1">#REF!</definedName>
    <definedName name="_AUX111">#REF!</definedName>
    <definedName name="_AUX2">#REF!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41111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17000">#REF!</definedName>
    <definedName name="_b18000">#REF!</definedName>
    <definedName name="_b19536">#REF!</definedName>
    <definedName name="_B30000">#REF!</definedName>
    <definedName name="_B32000">#REF!</definedName>
    <definedName name="_BAA1">#REF!</definedName>
    <definedName name="_bct75">#REF!</definedName>
    <definedName name="_bhh2">#REF!</definedName>
    <definedName name="_BLR1">#REF!</definedName>
    <definedName name="_bol1">#REF!</definedName>
    <definedName name="_bom1">#REF!</definedName>
    <definedName name="_bom2">#REF!</definedName>
    <definedName name="_Boq">#REF!</definedName>
    <definedName name="_BoQ3">#REF!</definedName>
    <definedName name="_BoQ4">#REF!</definedName>
    <definedName name="_BOQ6">#REF!</definedName>
    <definedName name="_buh11">#REF!</definedName>
    <definedName name="_C">#REF!</definedName>
    <definedName name="_C___0">#REF!</definedName>
    <definedName name="_C___13">#REF!</definedName>
    <definedName name="_CAN2">#REF!</definedName>
    <definedName name="_CAN9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om1">#REF!</definedName>
    <definedName name="_Com2">#REF!</definedName>
    <definedName name="_cth2">#REF!</definedName>
    <definedName name="_CVT220">#REF!</definedName>
    <definedName name="_d">#REF!</definedName>
    <definedName name="_d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hidden="1">{"'Sheet1'!$A$4386:$N$4591"}</definedName>
    <definedName name="_dec05_1" hidden="1">{"'Sheet1'!$A$4386:$N$4591"}</definedName>
    <definedName name="_DEF1">#REF!</definedName>
    <definedName name="_DEF2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m4">#REF!</definedName>
    <definedName name="_DIS1">#REF!</definedName>
    <definedName name="_DKT75">#REF!</definedName>
    <definedName name="_doc1">#REF!</definedName>
    <definedName name="_dol11">#REF!</definedName>
    <definedName name="_drg1">#REF!</definedName>
    <definedName name="_drg2">#REF!</definedName>
    <definedName name="_E">#REF!</definedName>
    <definedName name="_E4" hidden="1">#REF!</definedName>
    <definedName name="_eth2">#REF!</definedName>
    <definedName name="_F">#REF!</definedName>
    <definedName name="_fac1">#REF!</definedName>
    <definedName name="_fac2">#REF!</definedName>
    <definedName name="_fac3">#REF!</definedName>
    <definedName name="_FC">#REF!</definedName>
    <definedName name="_fcl1">#REF!</definedName>
    <definedName name="_Fill" hidden="1">#REF!</definedName>
    <definedName name="_Fill1" hidden="1">#REF!</definedName>
    <definedName name="_xlnm._FilterDatabase" hidden="1">#REF!</definedName>
    <definedName name="_Fpi1">#REF!</definedName>
    <definedName name="_g2">#REF!</definedName>
    <definedName name="_g66666">#REF!</definedName>
    <definedName name="_gus1">#REF!</definedName>
    <definedName name="_H13" hidden="1">{"Lpor",#N/A,FALSE,"Porta";"LRDOS1",#N/A,FALSE,"Rdos";"LRDOS2",#N/A,FALSE,"Rdos";"LBAL1",#N/A,FALSE,"Bala";"LTES1",#N/A,FALSE,"Teso"}</definedName>
    <definedName name="_hai1">#REF!</definedName>
    <definedName name="_hai2">#REF!</definedName>
    <definedName name="_HCO2">#REF!</definedName>
    <definedName name="_HDD1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fi88">#REF!</definedName>
    <definedName name="_hpm1">#REF!</definedName>
    <definedName name="_Hra2">#REF!</definedName>
    <definedName name="_Hso2">#REF!</definedName>
    <definedName name="_Hso3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FZ1">#REF!</definedName>
    <definedName name="_ifz13">#REF!</definedName>
    <definedName name="_in18900">#REF!</definedName>
    <definedName name="_INT1">#REF!</definedName>
    <definedName name="_Ipn1">#REF!</definedName>
    <definedName name="_Ipn2">#REF!</definedName>
    <definedName name="_Ipn3">#REF!</definedName>
    <definedName name="_Ipn5">#REF!</definedName>
    <definedName name="_ipn6">#REF!</definedName>
    <definedName name="_ipn7">#REF!</definedName>
    <definedName name="_Ism3">#REF!</definedName>
    <definedName name="_Isn1">#REF!</definedName>
    <definedName name="_Isn2">#REF!</definedName>
    <definedName name="_Isn22">#REF!</definedName>
    <definedName name="_Isn3">#REF!</definedName>
    <definedName name="_isn5">#REF!</definedName>
    <definedName name="_ISO220">#REF!</definedName>
    <definedName name="_iv19000">#REF!</definedName>
    <definedName name="_JH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td1">#REF!</definedName>
    <definedName name="_ktd2">#REF!</definedName>
    <definedName name="_ktd3">#REF!</definedName>
    <definedName name="_l">#REF!</definedName>
    <definedName name="_l3input">#REF!</definedName>
    <definedName name="_l3input2">#REF!</definedName>
    <definedName name="_l3inputD">#REF!</definedName>
    <definedName name="_lcn1">#REF!</definedName>
    <definedName name="_len2">#REF!</definedName>
    <definedName name="_len5">#REF!</definedName>
    <definedName name="_len7">#REF!</definedName>
    <definedName name="_lm1">#REF!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NK1">#REF!</definedName>
    <definedName name="_LNK10">#REF!</definedName>
    <definedName name="_LNK11">#REF!</definedName>
    <definedName name="_LNK12">#REF!</definedName>
    <definedName name="_LNK13">#REF!</definedName>
    <definedName name="_LNK136">#REF!</definedName>
    <definedName name="_LNK137">#REF!</definedName>
    <definedName name="_LNK14">#REF!</definedName>
    <definedName name="_LNK15">#REF!</definedName>
    <definedName name="_LNK16">#REF!</definedName>
    <definedName name="_LNK17">#REF!</definedName>
    <definedName name="_LNK18">#REF!</definedName>
    <definedName name="_LNK19">#REF!</definedName>
    <definedName name="_LNK2">#REF!</definedName>
    <definedName name="_LNK20">#REF!</definedName>
    <definedName name="_LNK21">#REF!</definedName>
    <definedName name="_LNK22">#REF!</definedName>
    <definedName name="_LNK23">#REF!</definedName>
    <definedName name="_LNK24">#REF!</definedName>
    <definedName name="_LNK25">#REF!</definedName>
    <definedName name="_LNK26">#REF!</definedName>
    <definedName name="_LNK27">#REF!</definedName>
    <definedName name="_LNK28">#REF!</definedName>
    <definedName name="_LNK29">#REF!</definedName>
    <definedName name="_LNK3">#REF!</definedName>
    <definedName name="_LNK30">#REF!</definedName>
    <definedName name="_LNK31">#REF!</definedName>
    <definedName name="_LNK32">#REF!</definedName>
    <definedName name="_LNK33">#REF!</definedName>
    <definedName name="_LNK34">#REF!</definedName>
    <definedName name="_LNK35">#REF!</definedName>
    <definedName name="_LNK36">#REF!</definedName>
    <definedName name="_LNK37">#REF!</definedName>
    <definedName name="_LNK38">#REF!</definedName>
    <definedName name="_LNK39">#REF!</definedName>
    <definedName name="_LNK4">#REF!</definedName>
    <definedName name="_LNK40">#REF!</definedName>
    <definedName name="_LNK41">#REF!</definedName>
    <definedName name="_LNK42">#REF!</definedName>
    <definedName name="_LNK43">#REF!</definedName>
    <definedName name="_LNK44">#REF!</definedName>
    <definedName name="_LNK45">#REF!</definedName>
    <definedName name="_LNK46">#REF!</definedName>
    <definedName name="_LNK47">#REF!</definedName>
    <definedName name="_LNK48">#REF!</definedName>
    <definedName name="_LNK49">#REF!</definedName>
    <definedName name="_LNK5">#REF!</definedName>
    <definedName name="_LNK50">#REF!</definedName>
    <definedName name="_LNK51">#REF!</definedName>
    <definedName name="_LNK52">#REF!</definedName>
    <definedName name="_LNK53">#REF!</definedName>
    <definedName name="_LNK54">#REF!</definedName>
    <definedName name="_LNK55">#REF!</definedName>
    <definedName name="_LNK56">#REF!</definedName>
    <definedName name="_LNK57">#REF!</definedName>
    <definedName name="_LNK6">#REF!</definedName>
    <definedName name="_LNK7">#REF!</definedName>
    <definedName name="_LNK8">#REF!</definedName>
    <definedName name="_LNK9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Lx1">#REF!</definedName>
    <definedName name="_M">#REF!</definedName>
    <definedName name="_MAN1">#REF!</definedName>
    <definedName name="_MatInverse_In" hidden="1">#REF!</definedName>
    <definedName name="_MatInverse_Out" hidden="1">#REF!</definedName>
    <definedName name="_MatMult_B" hidden="1">#REF!</definedName>
    <definedName name="_MB1">#REF!</definedName>
    <definedName name="_mcc1">#REF!</definedName>
    <definedName name="_mcc2">#REF!</definedName>
    <definedName name="_mcl132">#REF!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b1">#REF!</definedName>
    <definedName name="_nb2">#REF!</definedName>
    <definedName name="_new1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T8">#REF!</definedName>
    <definedName name="_OPT9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10" hidden="1">{"'Summary'!$A$1:$J$46"}</definedName>
    <definedName name="_PD11" hidden="1">{"'Summary'!$A$1:$J$46"}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M123" hidden="1">{"'Sheet1'!$A$4386:$N$4591"}</definedName>
    <definedName name="_pp1">#REF!</definedName>
    <definedName name="_pp2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AW3">#REF!</definedName>
    <definedName name="_R">#REF!</definedName>
    <definedName name="_R1">#REF!</definedName>
    <definedName name="_Rb1">#REF!</definedName>
    <definedName name="_Rb2">#REF!</definedName>
    <definedName name="_Rct1">#REF!</definedName>
    <definedName name="_Rct2">#REF!</definedName>
    <definedName name="_Rct3">#REF!</definedName>
    <definedName name="_Rct5">#REF!</definedName>
    <definedName name="_Rct6">#REF!</definedName>
    <definedName name="_rct7">#REF!</definedName>
    <definedName name="_rcu2">#REF!</definedName>
    <definedName name="_Re1">#REF!</definedName>
    <definedName name="_Regression_Int" hidden="1">1</definedName>
    <definedName name="_rim4">#REF!</definedName>
    <definedName name="_Rl1">#REF!</definedName>
    <definedName name="_RL2">#REF!</definedName>
    <definedName name="_Rl5">#REF!</definedName>
    <definedName name="_Rl6">#REF!</definedName>
    <definedName name="_Rl7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w1">#REF!</definedName>
    <definedName name="_row2">#REF!</definedName>
    <definedName name="_Rpo2">#REF!</definedName>
    <definedName name="_Rr1">#REF!</definedName>
    <definedName name="_Rr2">#REF!</definedName>
    <definedName name="_Rr3">#REF!</definedName>
    <definedName name="_rr5">#REF!</definedName>
    <definedName name="_rr6">#REF!</definedName>
    <definedName name="_rr7">#REF!</definedName>
    <definedName name="_Rs1">#REF!</definedName>
    <definedName name="_Rsb3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1">#REF!</definedName>
    <definedName name="_s2">#REF!</definedName>
    <definedName name="_s3">#REF!</definedName>
    <definedName name="_s41" hidden="1">{"form-D1",#N/A,FALSE,"FORM-D1";"form-D1_amt",#N/A,FALSE,"FORM-D1"}</definedName>
    <definedName name="_sch2">#REF!</definedName>
    <definedName name="_sch9">#REF!</definedName>
    <definedName name="_SD30" hidden="1">{"'Summary'!$A$1:$J$46"}</definedName>
    <definedName name="_SE1">#REF!</definedName>
    <definedName name="_SET1">#REF!</definedName>
    <definedName name="_SET2">#REF!</definedName>
    <definedName name="_SET21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g6">#REF!</definedName>
    <definedName name="_sit75">#REF!</definedName>
    <definedName name="_Sort" hidden="1">#REF!</definedName>
    <definedName name="_sp2">#REF!</definedName>
    <definedName name="_SP620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ub11">#REF!</definedName>
    <definedName name="_sw1">#REF!</definedName>
    <definedName name="_t1">#REF!</definedName>
    <definedName name="_TAB1">#REF!</definedName>
    <definedName name="_Table1_In1" hidden="1">#REF!</definedName>
    <definedName name="_Table1_Out" hidden="1">#REF!</definedName>
    <definedName name="_TB2">#REF!</definedName>
    <definedName name="_te1">#REF!</definedName>
    <definedName name="_TER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ot1">#REF!</definedName>
    <definedName name="_tot10">#REF!</definedName>
    <definedName name="_tot11">#REF!</definedName>
    <definedName name="_tot12">#REF!</definedName>
    <definedName name="_tot2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tot8">#REF!</definedName>
    <definedName name="_tot9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U11" hidden="1">#REF!</definedName>
    <definedName name="_us1">#REF!</definedName>
    <definedName name="_V">#REF!</definedName>
    <definedName name="_vaa5">#REF!</definedName>
    <definedName name="_vaa6">#REF!</definedName>
    <definedName name="_var5">#REF!</definedName>
    <definedName name="_Var6">#REF!</definedName>
    <definedName name="_Vf1">#REF!</definedName>
    <definedName name="_Vf2">#REF!</definedName>
    <definedName name="_Vk1">#REF!</definedName>
    <definedName name="_Vk2">#REF!</definedName>
    <definedName name="_Vk3">#REF!</definedName>
    <definedName name="_vr1">#REF!</definedName>
    <definedName name="_Wc1">#REF!</definedName>
    <definedName name="_WC3">#REF!</definedName>
    <definedName name="_WE2">#REF!</definedName>
    <definedName name="_WN7" hidden="1">{#N/A,#N/A,FALSE,"MODULE3"}</definedName>
    <definedName name="_wp1">#REF!</definedName>
    <definedName name="_Wr1">#REF!</definedName>
    <definedName name="_Wr3">#REF!</definedName>
    <definedName name="_wrm1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_Xl1">#REF!</definedName>
    <definedName name="_Z">#REF!</definedName>
    <definedName name="a">#REF!</definedName>
    <definedName name="A.T.RAJAN">#REF!</definedName>
    <definedName name="a___0">#REF!</definedName>
    <definedName name="a___13">#REF!</definedName>
    <definedName name="a_1">#REF!</definedName>
    <definedName name="a_3">#REF!</definedName>
    <definedName name="A_A">#REF!</definedName>
    <definedName name="A_B">#REF!</definedName>
    <definedName name="A_sp">#REF!</definedName>
    <definedName name="a0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 hidden="1">{#N/A,#N/A,FALSE,"Main"}</definedName>
    <definedName name="aaaaaa">#REF!</definedName>
    <definedName name="aaaaaaaaaaa">#REF!</definedName>
    <definedName name="aaaaaaaaaaaa" hidden="1">{#N/A,#N/A,FALSE,"Main"}</definedName>
    <definedName name="aaaaaaaaaaaaaaaaa" hidden="1">#REF!</definedName>
    <definedName name="aaaaaaaaaaaaaaaaaaaaaaaa" hidden="1">#REF!</definedName>
    <definedName name="aaaaaaaaaaaaaaaaaaaaaaaaa" hidden="1">{#N/A,#N/A,FALSE,"MODULE3"}</definedName>
    <definedName name="aaaaaaaaaaaaaaaaaaaaaaaaaaaaaaa" hidden="1">{"'Sheet1'!$A$4386:$N$4591"}</definedName>
    <definedName name="aaaaaaaaaaaaaaaaaaaaaaaaaaaaaaaaaaaa" hidden="1">#REF!</definedName>
    <definedName name="AAAAAAAAAAAAAAAAAAAAAAAAAAAAAAAAAAAAAAAAA">#REF!</definedName>
    <definedName name="aaaaaaaaaaaaaaaaaaaaaaaaaaaaaaaaaaaaaaaaaaa" hidden="1">#REF!</definedName>
    <definedName name="aaainput">#REF!</definedName>
    <definedName name="AAC">#REF!</definedName>
    <definedName name="aainput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b">#REF!</definedName>
    <definedName name="abc">#REF!</definedName>
    <definedName name="abcd">#REF!</definedName>
    <definedName name="abcdef">#REF!</definedName>
    <definedName name="abcf" hidden="1">{#N/A,#N/A,TRUE,"Vergabe-Regeln";#N/A,#N/A,TRUE,"Baugruppen";#N/A,#N/A,TRUE,"Geräte";#N/A,#N/A,TRUE,"PC-Software";#N/A,#N/A,TRUE,"Software";#N/A,#N/A,TRUE,"SW-Reg";#N/A,#N/A,TRUE,"Dokumentation"}</definedName>
    <definedName name="abg">#REF!</definedName>
    <definedName name="About">#REF!</definedName>
    <definedName name="AboveGL">#REF!</definedName>
    <definedName name="ABROAD">#REF!</definedName>
    <definedName name="Abroad_u">#REF!</definedName>
    <definedName name="abroadu">#REF!</definedName>
    <definedName name="abstract">#REF!</definedName>
    <definedName name="abstract1">#REF!</definedName>
    <definedName name="Ac">#REF!</definedName>
    <definedName name="AC_disc">#REF!</definedName>
    <definedName name="AccessDatabase" hidden="1">"C:\My Documents\db3.mdb"</definedName>
    <definedName name="accp">#REF!</definedName>
    <definedName name="ACK">#REF!</definedName>
    <definedName name="Acost">#REF!</definedName>
    <definedName name="acr">#REF!</definedName>
    <definedName name="acs">#REF!</definedName>
    <definedName name="ACSR">#REF!</definedName>
    <definedName name="AD" hidden="1">{"'Sheet1'!$A$4386:$N$4591"}</definedName>
    <definedName name="AD_1" hidden="1">{"'Sheet1'!$A$4386:$N$4591"}</definedName>
    <definedName name="adas">#REF!</definedName>
    <definedName name="adasdas">#REF!</definedName>
    <definedName name="add" hidden="1">{#N/A,#N/A,FALSE,"MODULE3"}</definedName>
    <definedName name="addf">#REF!</definedName>
    <definedName name="adds" hidden="1">{#N/A,#N/A,FALSE,"MODULE3"}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>#REF!</definedName>
    <definedName name="admin">#REF!</definedName>
    <definedName name="ADNAN">#REF!</definedName>
    <definedName name="adssss">#REF!</definedName>
    <definedName name="ADVIK">#REF!</definedName>
    <definedName name="adwea">#REF!</definedName>
    <definedName name="AE">#REF!</definedName>
    <definedName name="AED">#REF!</definedName>
    <definedName name="aerawrwaraaa">#REF!</definedName>
    <definedName name="AF">#REF!</definedName>
    <definedName name="afafa" hidden="1">#REF!</definedName>
    <definedName name="AFF">#REF!</definedName>
    <definedName name="Afive">#REF!</definedName>
    <definedName name="Afour">#REF!</definedName>
    <definedName name="afsgs">#REF!</definedName>
    <definedName name="Ag">#REF!</definedName>
    <definedName name="Ag___0">#REF!</definedName>
    <definedName name="Ag___13">#REF!</definedName>
    <definedName name="agg">#REF!</definedName>
    <definedName name="AGRQTY">#REF!</definedName>
    <definedName name="AGS">#REF!</definedName>
    <definedName name="agt_qty">INDIRECT("'workbill proforma'!H"&amp;MATCH(#REF!,#REF!,0)+10)</definedName>
    <definedName name="ah">#REF!</definedName>
    <definedName name="ahp_work">#REF!</definedName>
    <definedName name="AI">#REF!</definedName>
    <definedName name="AIOM">#REF!</definedName>
    <definedName name="AIR">#REF!</definedName>
    <definedName name="ajslk" hidden="1">{"form-D1",#N/A,FALSE,"FORM-D1";"form-D1_amt",#N/A,FALSE,"FORM-D1"}</definedName>
    <definedName name="ak">#REF!</definedName>
    <definedName name="aksj" hidden="1">{"form-D1",#N/A,FALSE,"FORM-D1";"form-D1_amt",#N/A,FALSE,"FORM-D1"}</definedName>
    <definedName name="AL">#REF!</definedName>
    <definedName name="Al_Ansari__C.D_">#REF!</definedName>
    <definedName name="ALarea">#REF!</definedName>
    <definedName name="ALFr">#REF!</definedName>
    <definedName name="Alfr5">#REF!</definedName>
    <definedName name="alfr6">#REF!</definedName>
    <definedName name="all">#REF!</definedName>
    <definedName name="Allowance">#REF!</definedName>
    <definedName name="alpha">#REF!</definedName>
    <definedName name="alpha0">#REF!</definedName>
    <definedName name="alpha1">#REF!</definedName>
    <definedName name="alpha2">#REF!</definedName>
    <definedName name="alphaa">#REF!</definedName>
    <definedName name="alphab">#REF!</definedName>
    <definedName name="alphar">#REF!</definedName>
    <definedName name="Alpr">#REF!</definedName>
    <definedName name="ALTERNATIVE">#REF!</definedName>
    <definedName name="Alw">#REF!</definedName>
    <definedName name="Alw_1">#REF!</definedName>
    <definedName name="am">#REF!</definedName>
    <definedName name="ama">#REF!</definedName>
    <definedName name="amin">#REF!</definedName>
    <definedName name="amin1">#REF!</definedName>
    <definedName name="amin2">#REF!</definedName>
    <definedName name="Amount">#REF!</definedName>
    <definedName name="AmountGR">#REF!</definedName>
    <definedName name="AmountSer">#REF!</definedName>
    <definedName name="analcdnew">#REF!</definedName>
    <definedName name="ANALCDNEW1">#REF!</definedName>
    <definedName name="anb">#REF!</definedName>
    <definedName name="Angles">#REF!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scount" hidden="1">1</definedName>
    <definedName name="AO">#REF!</definedName>
    <definedName name="Aone">#REF!</definedName>
    <definedName name="AOR">#REF!</definedName>
    <definedName name="AP">#REF!</definedName>
    <definedName name="apm">#REF!</definedName>
    <definedName name="app">#REF!</definedName>
    <definedName name="apr03rate">#REF!</definedName>
    <definedName name="APRIL">#REF!</definedName>
    <definedName name="april_qty">#REF!</definedName>
    <definedName name="AQ">#REF!</definedName>
    <definedName name="aqaaaaa" hidden="1">{#N/A,#N/A,TRUE,"Perm";#N/A,#N/A,TRUE,"Architecture"}</definedName>
    <definedName name="ar">#REF!</definedName>
    <definedName name="ARA">#REF!</definedName>
    <definedName name="arca">#REF!</definedName>
    <definedName name="arctanz">#REF!</definedName>
    <definedName name="Area1">#REF!</definedName>
    <definedName name="Area2">#REF!</definedName>
    <definedName name="Area2I">#REF!</definedName>
    <definedName name="Area2x2">#REF!</definedName>
    <definedName name="Areain">#REF!</definedName>
    <definedName name="AreaRev">#REF!</definedName>
    <definedName name="args">#REF!</definedName>
    <definedName name="ArialNarrow">#REF!</definedName>
    <definedName name="arunan">#REF!</definedName>
    <definedName name="arwrw">#REF!</definedName>
    <definedName name="as">#REF!</definedName>
    <definedName name="AS_disc">#REF!</definedName>
    <definedName name="asa">#REF!</definedName>
    <definedName name="asbyds">#REF!</definedName>
    <definedName name="Asc">#REF!</definedName>
    <definedName name="ASD">#REF!</definedName>
    <definedName name="asda">#REF!</definedName>
    <definedName name="ASDADS">#REF!</definedName>
    <definedName name="asdasadsdasdasd">#REF!</definedName>
    <definedName name="asdasd">#REF!</definedName>
    <definedName name="asdasdasdas">#REF!</definedName>
    <definedName name="asdasddasdadasd">#REF!</definedName>
    <definedName name="ASDASDDSA">#REF!</definedName>
    <definedName name="asddas">#REF!</definedName>
    <definedName name="asdf" hidden="1">{#N/A,#N/A,FALSE,"Main"}</definedName>
    <definedName name="ASF">#REF!</definedName>
    <definedName name="asfaff">#REF!</definedName>
    <definedName name="ASFFFF">#REF!</definedName>
    <definedName name="asfgsdghserh">#REF!</definedName>
    <definedName name="ASHOKA">#REF!</definedName>
    <definedName name="asjk" hidden="1">{"form-D1",#N/A,FALSE,"FORM-D1";"form-D1_amt",#N/A,FALSE,"FORM-D1"}</definedName>
    <definedName name="ass">#REF!</definedName>
    <definedName name="Assc">#REF!</definedName>
    <definedName name="assets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g03rate">#REF!</definedName>
    <definedName name="aux">#REF!</definedName>
    <definedName name="AuxRelay">#REF!</definedName>
    <definedName name="auxsen">#REF!</definedName>
    <definedName name="av">#REF!</definedName>
    <definedName name="AvDepth">#REF!</definedName>
    <definedName name="AvDpth">#REF!</definedName>
    <definedName name="AWW">#REF!</definedName>
    <definedName name="ax">#REF!</definedName>
    <definedName name="AXX">#REF!</definedName>
    <definedName name="axx4_1">#REF!</definedName>
    <definedName name="axx5_1">#REF!</definedName>
    <definedName name="axx6_1">#REF!</definedName>
    <definedName name="axx7_1">#REF!</definedName>
    <definedName name="axx8_1">#REF!</definedName>
    <definedName name="AXXX2">#REF!</definedName>
    <definedName name="AXXX3">#REF!</definedName>
    <definedName name="AXXX3d">#REF!</definedName>
    <definedName name="AXXX4">#REF!</definedName>
    <definedName name="AXXXX2">#REF!</definedName>
    <definedName name="AXXXX3">#REF!</definedName>
    <definedName name="ay">#REF!</definedName>
    <definedName name="azerty">#REF!</definedName>
    <definedName name="azertyretrre">#REF!</definedName>
    <definedName name="B">#REF!</definedName>
    <definedName name="B___0">#REF!</definedName>
    <definedName name="B___13">#REF!</definedName>
    <definedName name="B_1">#REF!</definedName>
    <definedName name="B_F">#REF!</definedName>
    <definedName name="b1x">#REF!</definedName>
    <definedName name="b1xx">#REF!</definedName>
    <definedName name="b2x">#REF!</definedName>
    <definedName name="b2xx">#REF!</definedName>
    <definedName name="b5464563">#REF!</definedName>
    <definedName name="b6475656">#REF!</definedName>
    <definedName name="b7686767">#REF!</definedName>
    <definedName name="ba">#REF!</definedName>
    <definedName name="bar">#REF!</definedName>
    <definedName name="BARA">#REF!</definedName>
    <definedName name="BARA1">#REF!</definedName>
    <definedName name="BARA2">#REF!</definedName>
    <definedName name="Base1">#REF!</definedName>
    <definedName name="Base2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hidden="1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bbb">#REF!</definedName>
    <definedName name="bc">#REF!</definedName>
    <definedName name="bcd">#REF!</definedName>
    <definedName name="bcgf">#REF!</definedName>
    <definedName name="bcol">#REF!</definedName>
    <definedName name="bcs">#REF!</definedName>
    <definedName name="bct">#REF!</definedName>
    <definedName name="bcv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dfdb" hidden="1">{#N/A,#N/A,TRUE,"Perm";#N/A,#N/A,TRUE,"Architecture"}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foot">#REF!</definedName>
    <definedName name="bg54ex">#REF!</definedName>
    <definedName name="BGH" hidden="1">{#N/A,#N/A,FALSE,"MODULE3"}</definedName>
    <definedName name="bghf">#REF!</definedName>
    <definedName name="bh">#REF!</definedName>
    <definedName name="bhg">#REF!</definedName>
    <definedName name="bhgfdsa">#REF!</definedName>
    <definedName name="bhs">#REF!</definedName>
    <definedName name="bhv">#REF!</definedName>
    <definedName name="biddername">#REF!</definedName>
    <definedName name="bil">#REF!</definedName>
    <definedName name="billable_qty">INDIRECT("'workbill proforma'!w"&amp;MATCH(#REF!,#REF!,0)+10)</definedName>
    <definedName name="bina">#REF!</definedName>
    <definedName name="BISALPUR">#REF!</definedName>
    <definedName name="bjbj">#REF!</definedName>
    <definedName name="bk">#REF!</definedName>
    <definedName name="BL2A2">#REF!</definedName>
    <definedName name="BL2AAA">#REF!</definedName>
    <definedName name="BL2BB">#REF!</definedName>
    <definedName name="BL2BBB">#REF!</definedName>
    <definedName name="BL2CC">#REF!</definedName>
    <definedName name="BL2CCC">#REF!</definedName>
    <definedName name="BL3AA">#REF!</definedName>
    <definedName name="BL3AAA">#REF!</definedName>
    <definedName name="BL3BB">#REF!</definedName>
    <definedName name="BL3BBB">#REF!</definedName>
    <definedName name="BL3CC">#REF!</definedName>
    <definedName name="BL3CCC">#REF!</definedName>
    <definedName name="BL4AA">#REF!</definedName>
    <definedName name="BL4AAA">#REF!</definedName>
    <definedName name="BL4BB">#REF!</definedName>
    <definedName name="BL4BBB">#REF!</definedName>
    <definedName name="BL4CC">#REF!</definedName>
    <definedName name="BL4CCC">#REF!</definedName>
    <definedName name="BL5AA">#REF!</definedName>
    <definedName name="BL5AAA">#REF!</definedName>
    <definedName name="BL5BB">#REF!</definedName>
    <definedName name="BL5BBB">#REF!</definedName>
    <definedName name="BL5CC">#REF!</definedName>
    <definedName name="BL5CCC">#REF!</definedName>
    <definedName name="BM">#N/A</definedName>
    <definedName name="BMK">#REF!</definedName>
    <definedName name="BMK2SWDEND">#REF!</definedName>
    <definedName name="BMxxi">#REF!</definedName>
    <definedName name="BMxxii">#REF!</definedName>
    <definedName name="BMxxiii">#REF!</definedName>
    <definedName name="BMyyi">#REF!</definedName>
    <definedName name="bocontr1">#REF!</definedName>
    <definedName name="BOISAR_BAYWISE">#REF!</definedName>
    <definedName name="bol">#REF!</definedName>
    <definedName name="bolt">#REF!</definedName>
    <definedName name="bolts">#REF!</definedName>
    <definedName name="bom">#REF!</definedName>
    <definedName name="boml">#REF!</definedName>
    <definedName name="bo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q_type">#REF!</definedName>
    <definedName name="boq_version">#REF!</definedName>
    <definedName name="BOQCivilS" hidden="1">{#N/A,#N/A,FALSE,"MODULE3"}</definedName>
    <definedName name="BORE_HOLE_DATA">#REF!</definedName>
    <definedName name="botl">#REF!</definedName>
    <definedName name="botn">#REF!</definedName>
    <definedName name="Bottoni">#REF!</definedName>
    <definedName name="Bph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ed">#REF!</definedName>
    <definedName name="BRICK">#REF!</definedName>
    <definedName name="brk">#REF!</definedName>
    <definedName name="brk___0">#REF!</definedName>
    <definedName name="bs">#REF!</definedName>
    <definedName name="bsc">#REF!</definedName>
    <definedName name="bss">#REF!</definedName>
    <definedName name="Bsump">#REF!</definedName>
    <definedName name="btb_musd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s">#REF!</definedName>
    <definedName name="bush">#REF!</definedName>
    <definedName name="bvb" hidden="1">{"INVERSIONES",#N/A,FALSE,"Impresion"}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C_">#REF!</definedName>
    <definedName name="C_C">#REF!</definedName>
    <definedName name="CA">#REF!</definedName>
    <definedName name="CAA">#REF!</definedName>
    <definedName name="cab">#REF!</definedName>
    <definedName name="CABINETS">#REF!</definedName>
    <definedName name="Cable">#REF!</definedName>
    <definedName name="Cabledata">#REF!</definedName>
    <definedName name="cables">#REF!</definedName>
    <definedName name="CableSize">#REF!</definedName>
    <definedName name="calcsum">#REF!</definedName>
    <definedName name="Cambio">#REF!</definedName>
    <definedName name="cant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hidden="1">{"CASH FLOW",#N/A,FALSE,"A"}</definedName>
    <definedName name="cash" hidden="1">{"'Sheet1'!$A$4386:$N$4591"}</definedName>
    <definedName name="cash_1" hidden="1">{"'Sheet1'!$A$4386:$N$4591"}</definedName>
    <definedName name="CB">#REF!</definedName>
    <definedName name="cc">#REF!</definedName>
    <definedName name="ccap">#REF!</definedName>
    <definedName name="CCB">#REF!</definedName>
    <definedName name="ccbp">#REF!</definedName>
    <definedName name="CCC">#REF!</definedName>
    <definedName name="Ccost">#REF!</definedName>
    <definedName name="CCT">#REF!</definedName>
    <definedName name="ccvbv">#REF!</definedName>
    <definedName name="CCVT">#REF!</definedName>
    <definedName name="Cd">#REF!</definedName>
    <definedName name="Cd_1">#REF!</definedName>
    <definedName name="cdds">#REF!</definedName>
    <definedName name="cdfre.">#REF!</definedName>
    <definedName name="Cdi">#REF!</definedName>
    <definedName name="cdl">#REF!</definedName>
    <definedName name="cdlf">#REF!</definedName>
    <definedName name="cdpa">#REF!</definedName>
    <definedName name="cdradar">#REF!</definedName>
    <definedName name="Cdt">#REF!</definedName>
    <definedName name="cdv">#REF!</definedName>
    <definedName name="CDWSSM">#REF!</definedName>
    <definedName name="CDWSSP">#REF!</definedName>
    <definedName name="Cedi">#REF!</definedName>
    <definedName name="cee">#REF!</definedName>
    <definedName name="Certificate">#REF!</definedName>
    <definedName name="Cf">#REF!</definedName>
    <definedName name="cf_musd">#REF!</definedName>
    <definedName name="cfd">#REF!</definedName>
    <definedName name="cflo" hidden="1">{"CASH FLOW",#N/A,FALSE,"A"}</definedName>
    <definedName name="cflow" hidden="1">{"CASH FLOW",#N/A,FALSE,"A"}</definedName>
    <definedName name="cfrd">#REF!</definedName>
    <definedName name="cfv">#REF!</definedName>
    <definedName name="CG">#REF!</definedName>
    <definedName name="ch_area1">#REF!</definedName>
    <definedName name="ch_area2">#REF!</definedName>
    <definedName name="ch_area3">#REF!</definedName>
    <definedName name="ch_area4">#REF!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ra">#REF!</definedName>
    <definedName name="ChartData_Monthly">#REF!</definedName>
    <definedName name="ChartData_Weekly">#REF!</definedName>
    <definedName name="checked">#REF!</definedName>
    <definedName name="CHFF">#REF!</definedName>
    <definedName name="Chi">#REF!</definedName>
    <definedName name="ChINo5">#REF!</definedName>
    <definedName name="cif">#REF!</definedName>
    <definedName name="Citylist">#REF!</definedName>
    <definedName name="civ">#REF!</definedName>
    <definedName name="civil">#REF!</definedName>
    <definedName name="ck">#REF!</definedName>
    <definedName name="CL">#REF!</definedName>
    <definedName name="cl_cover">#REF!</definedName>
    <definedName name="cl33kv">#REF!</definedName>
    <definedName name="clbs">#REF!</definedName>
    <definedName name="cld">#REF!</definedName>
    <definedName name="client">#REF!</definedName>
    <definedName name="clientv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r">#REF!</definedName>
    <definedName name="clt">#REF!</definedName>
    <definedName name="cltf">#REF!</definedName>
    <definedName name="cnvert">#REF!</definedName>
    <definedName name="CO">#REF!</definedName>
    <definedName name="COA">#REF!</definedName>
    <definedName name="code">#REF!</definedName>
    <definedName name="codecode">#REF!</definedName>
    <definedName name="CODES">#REF!</definedName>
    <definedName name="COE">#REF!</definedName>
    <definedName name="Coef1">#REF!</definedName>
    <definedName name="Coef2">#REF!</definedName>
    <definedName name="Coef3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_spare">#REF!</definedName>
    <definedName name="commn">#REF!</definedName>
    <definedName name="COMP">#REF!</definedName>
    <definedName name="company">#REF!</definedName>
    <definedName name="CON">#REF!</definedName>
    <definedName name="concretegrades">#REF!</definedName>
    <definedName name="cond">#REF!</definedName>
    <definedName name="cond.span">#REF!</definedName>
    <definedName name="conduc">#REF!</definedName>
    <definedName name="conductor">#REF!</definedName>
    <definedName name="CONDUCTOTR">#REF!</definedName>
    <definedName name="CONS">#REF!</definedName>
    <definedName name="cons.smm">#REF!</definedName>
    <definedName name="CONSULTANT">#REF!</definedName>
    <definedName name="CONTENTS">#REF!</definedName>
    <definedName name="contrib">#REF!</definedName>
    <definedName name="control132">#REF!</definedName>
    <definedName name="Convent.">#REF!</definedName>
    <definedName name="conversion_type">#REF!</definedName>
    <definedName name="COO">#REF!</definedName>
    <definedName name="copy1">#REF!</definedName>
    <definedName name="copy1a">#REF!</definedName>
    <definedName name="copy2">#REF!</definedName>
    <definedName name="copy2a">#REF!</definedName>
    <definedName name="copy3">#REF!</definedName>
    <definedName name="copy3a">#REF!</definedName>
    <definedName name="copy4">#REF!</definedName>
    <definedName name="copy4a">#REF!</definedName>
    <definedName name="copy5">#REF!</definedName>
    <definedName name="copy5a">#REF!</definedName>
    <definedName name="copy6">#REF!</definedName>
    <definedName name="copy6a">#REF!</definedName>
    <definedName name="copy7">#REF!</definedName>
    <definedName name="copy7a">#REF!</definedName>
    <definedName name="copy8">#REF!</definedName>
    <definedName name="copy8a">#REF!</definedName>
    <definedName name="copy9">#REF!</definedName>
    <definedName name="copy9a">#REF!</definedName>
    <definedName name="coros">#REF!</definedName>
    <definedName name="cosq">#REF!</definedName>
    <definedName name="Cost">#REF!</definedName>
    <definedName name="Cost__Ex_Works">#REF!</definedName>
    <definedName name="Cost_code">#REF!</definedName>
    <definedName name="Cost_Per_Manday">#REF!</definedName>
    <definedName name="COST_PSCH">#REF!</definedName>
    <definedName name="cost2" hidden="1">{"CASH FLOW",#N/A,FALSE,"A"}</definedName>
    <definedName name="costing">#REF!</definedName>
    <definedName name="COU">#REF!</definedName>
    <definedName name="COU___0">#REF!</definedName>
    <definedName name="COU___13">#REF!</definedName>
    <definedName name="cov">#REF!</definedName>
    <definedName name="cover">#REF!</definedName>
    <definedName name="cp">#REF!</definedName>
    <definedName name="CPL">#REF!</definedName>
    <definedName name="CR">#REF!</definedName>
    <definedName name="CRAR">#REF!</definedName>
    <definedName name="CRB">#REF!</definedName>
    <definedName name="crc">#REF!</definedName>
    <definedName name="_xlnm.Criteria">#REF!</definedName>
    <definedName name="crlbc">#REF!</definedName>
    <definedName name="CRPANEL">#REF!</definedName>
    <definedName name="CS">#REF!</definedName>
    <definedName name="Cs___0">#REF!</definedName>
    <definedName name="Cs___13">#REF!</definedName>
    <definedName name="Cs_1">#REF!</definedName>
    <definedName name="CSD">#REF!</definedName>
    <definedName name="csplit">#REF!</definedName>
    <definedName name="CST">#REF!</definedName>
    <definedName name="cstvat">#REF!</definedName>
    <definedName name="CT">#REF!</definedName>
    <definedName name="ctf">#REF!</definedName>
    <definedName name="Cth">#REF!</definedName>
    <definedName name="CTPT">#REF!</definedName>
    <definedName name="CTR">#REF!</definedName>
    <definedName name="Ctype">#REF!</definedName>
    <definedName name="CU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ENCY">#REF!</definedName>
    <definedName name="currency_nam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V_Number">#REF!</definedName>
    <definedName name="cvd">#REF!</definedName>
    <definedName name="cvdanal">#REF!</definedName>
    <definedName name="cvddcs">#REF!</definedName>
    <definedName name="cvg">#N/A</definedName>
    <definedName name="CVT">#REF!</definedName>
    <definedName name="cx">#REF!</definedName>
    <definedName name="d">#REF!</definedName>
    <definedName name="d___0">#REF!</definedName>
    <definedName name="d___13">#REF!</definedName>
    <definedName name="D_1">#REF!</definedName>
    <definedName name="d_jp" hidden="1">{"'Sheet1'!$A$4386:$N$4591"}</definedName>
    <definedName name="d_jp_1" hidden="1">{"'Sheet1'!$A$4386:$N$4591"}</definedName>
    <definedName name="D_L_SAVANT">#REF!</definedName>
    <definedName name="D_L_SAVANT___0">#REF!</definedName>
    <definedName name="D8Data">#REF!</definedName>
    <definedName name="da" hidden="1">{"CASH FLOW",#N/A,FALSE,"A"}</definedName>
    <definedName name="Daa">#REF!</definedName>
    <definedName name="Dab">#REF!</definedName>
    <definedName name="dam">#REF!</definedName>
    <definedName name="dara">#REF!</definedName>
    <definedName name="DASD">#REF!</definedName>
    <definedName name="DASDAD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SCH">#REF!</definedName>
    <definedName name="data1" hidden="1">#REF!</definedName>
    <definedName name="data2" hidden="1">#REF!</definedName>
    <definedName name="data3" hidden="1">#REF!</definedName>
    <definedName name="DATA4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dbdf" hidden="1">{#N/A,#N/A,FALSE,"MODULE3"}</definedName>
    <definedName name="dbdbdfbdfbd" hidden="1">{"CASH FLOW",#N/A,FALSE,"A"}</definedName>
    <definedName name="dbdbdfbdfbdfb" hidden="1">{#N/A,#N/A,FALSE,"MODULE3"}</definedName>
    <definedName name="dbdbdfd" hidden="1">{"'Sheet1'!$A$4386:$N$4591"}</definedName>
    <definedName name="dbdbfbdb" hidden="1">{#N/A,#N/A,FALSE,"Main"}</definedName>
    <definedName name="dbdddf" hidden="1">{#N/A,#N/A,FALSE,"MODULE3"}</definedName>
    <definedName name="dbdfdbdf" hidden="1">{#N/A,#N/A,FALSE,"Main"}</definedName>
    <definedName name="dbfdbdfbdfb" hidden="1">{"'Sheet1'!$A$4386:$N$4591"}</definedName>
    <definedName name="dbfdbdffbdfb" hidden="1">{"CASH FLOW",#N/A,FALSE,"A"}</definedName>
    <definedName name="dbfdbgngn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bffbdbfdf" hidden="1">{"CASH FLOW",#N/A,FALSE,"A"}</definedName>
    <definedName name="Dc">#REF!</definedName>
    <definedName name="Dcc">#REF!</definedName>
    <definedName name="dcdc" hidden="1">{"CASH FLOW",#N/A,FALSE,"A"}</definedName>
    <definedName name="Dcg">#REF!</definedName>
    <definedName name="DCmax">#REF!</definedName>
    <definedName name="dcol">#REF!</definedName>
    <definedName name="dcscd">#REF!</definedName>
    <definedName name="dd" hidden="1">#REF!</definedName>
    <definedName name="ddash">#REF!</definedName>
    <definedName name="DDD" hidden="1">#REF!</definedName>
    <definedName name="ddddd">#REF!</definedName>
    <definedName name="ddg">#REF!</definedName>
    <definedName name="d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_LIS">#REF!</definedName>
    <definedName name="DEBTORS">#REF!</definedName>
    <definedName name="début_chantier">#REF!</definedName>
    <definedName name="dec03rate">#REF!</definedName>
    <definedName name="DEFF">#REF!</definedName>
    <definedName name="DEFF2">#REF!</definedName>
    <definedName name="DEFFF1">#REF!</definedName>
    <definedName name="DEFFF2">#REF!</definedName>
    <definedName name="DEHRI">#REF!</definedName>
    <definedName name="delk">#REF!</definedName>
    <definedName name="delm">#REF!</definedName>
    <definedName name="delm_1">#REF!</definedName>
    <definedName name="delm2">#REF!</definedName>
    <definedName name="delta">#REF!</definedName>
    <definedName name="delta_1">#REF!</definedName>
    <definedName name="delta1">#REF!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yw">#REF!</definedName>
    <definedName name="DEM">#REF!</definedName>
    <definedName name="demo">#REF!</definedName>
    <definedName name="Den">#REF!</definedName>
    <definedName name="den.fac">#REF!</definedName>
    <definedName name="density">#REF!</definedName>
    <definedName name="dep">#REF!</definedName>
    <definedName name="Depth_above_FGL">#REF!</definedName>
    <definedName name="Depth_below_ground_level">#REF!</definedName>
    <definedName name="Depth_of_the_section">#REF!</definedName>
    <definedName name="des">#REF!</definedName>
    <definedName name="Description">#REF!</definedName>
    <definedName name="designed">#REF!</definedName>
    <definedName name="DesignYears">#REF!</definedName>
    <definedName name="DESV." hidden="1">{"INVERSIONES",#N/A,FALSE,"Impresion"}</definedName>
    <definedName name="DESVIACIONES" hidden="1">{"Lpor",#N/A,FALSE,"Porta";"LRDOS1",#N/A,FALSE,"Rdos";"LRDOS2",#N/A,FALSE,"Rdos";"LBAL1",#N/A,FALSE,"Bala";"LTES1",#N/A,FALSE,"Teso"}</definedName>
    <definedName name="detailed">#N/A</definedName>
    <definedName name="dev">#REF!</definedName>
    <definedName name="DF">#REF!</definedName>
    <definedName name="dfaf">#REF!</definedName>
    <definedName name="dfbdfhrh" hidden="1">{#N/A,#N/A,FALSE,"Main"}</definedName>
    <definedName name="dfd">#REF!</definedName>
    <definedName name="dfdf">#REF!</definedName>
    <definedName name="dfdfs" hidden="1">{"'Sheet1'!$A$4386:$N$4591"}</definedName>
    <definedName name="dfdfs_1" hidden="1">{"'Sheet1'!$A$4386:$N$4591"}</definedName>
    <definedName name="dfdgbbfbdfb" hidden="1">#REF!</definedName>
    <definedName name="dfert">#REF!</definedName>
    <definedName name="dfffffffffffffffffff" hidden="1">#REF!</definedName>
    <definedName name="DFG">#REF!</definedName>
    <definedName name="dfgdfgdgf" hidden="1">{"CASH FLOW",#N/A,FALSE,"A"}</definedName>
    <definedName name="dfgh">#REF!</definedName>
    <definedName name="dfgsdfg">#REF!</definedName>
    <definedName name="dflo" hidden="1">{"CASH FLOW",#N/A,FALSE,"A"}</definedName>
    <definedName name="dfrads">#REF!</definedName>
    <definedName name="dfsdf">#REF!</definedName>
    <definedName name="DFSDFSDF">#REF!</definedName>
    <definedName name="DFSDFSDFSD">#REF!</definedName>
    <definedName name="dfsga">#REF!</definedName>
    <definedName name="dg">#REF!</definedName>
    <definedName name="DG_Total">#REF!</definedName>
    <definedName name="Dgg">#REF!</definedName>
    <definedName name="dgp">#REF!</definedName>
    <definedName name="dgreehgfhdrd">#REF!</definedName>
    <definedName name="dgrgrehtet">#REF!</definedName>
    <definedName name="dgv">#REF!</definedName>
    <definedName name="Dh">#REF!</definedName>
    <definedName name="dhdg">#REF!</definedName>
    <definedName name="dhgdhyrjgdhdhr">#REF!</definedName>
    <definedName name="DHTML" hidden="1">{"'Sheet1'!$A$4386:$N$4591"}</definedName>
    <definedName name="DHTML_1" hidden="1">{"'Sheet1'!$A$4386:$N$4591"}</definedName>
    <definedName name="dhtrjyjgfhher">#REF!</definedName>
    <definedName name="Di">#REF!</definedName>
    <definedName name="dia">#REF!</definedName>
    <definedName name="diacon">#REF!</definedName>
    <definedName name="Dialog5">#N/A</definedName>
    <definedName name="diff">#REF!</definedName>
    <definedName name="diff1">#REF!</definedName>
    <definedName name="DIFFQTY">#N/A</definedName>
    <definedName name="din" hidden="1">{"CASH FLOW",#N/A,FALSE,"A"}</definedName>
    <definedName name="DIns">#REF!</definedName>
    <definedName name="disc">#REF!</definedName>
    <definedName name="Discount" hidden="1">#REF!</definedName>
    <definedName name="Discount1">#REF!</definedName>
    <definedName name="display_area_2" hidden="1">#REF!</definedName>
    <definedName name="Dist">#REF!</definedName>
    <definedName name="DIST1">#REF!</definedName>
    <definedName name="distspc">#REF!</definedName>
    <definedName name="DIV">1000000</definedName>
    <definedName name="dk">#REF!</definedName>
    <definedName name="dklkdf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_1">#REF!</definedName>
    <definedName name="DME_Dirty" hidden="1">"False"</definedName>
    <definedName name="DME_LocalFile" hidden="1">"True"</definedName>
    <definedName name="dms">#REF!</definedName>
    <definedName name="dmt">#REF!</definedName>
    <definedName name="Do">#REF!</definedName>
    <definedName name="Docno">#REF!</definedName>
    <definedName name="docu">#REF!</definedName>
    <definedName name="Document_array">{"Book1"}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per">#REF!</definedName>
    <definedName name="dproj">#REF!</definedName>
    <definedName name="dq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ef">#REF!</definedName>
    <definedName name="drgsegs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rod">#REF!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>#REF!</definedName>
    <definedName name="Ds___0">#REF!</definedName>
    <definedName name="Ds___13">#REF!</definedName>
    <definedName name="Ds_1">#REF!</definedName>
    <definedName name="Dsa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w">#REF!</definedName>
    <definedName name="dsp">#REF!</definedName>
    <definedName name="Dt">#REF!</definedName>
    <definedName name="dtot">#REF!</definedName>
    <definedName name="dur">#REF!</definedName>
    <definedName name="durée_chantier">#REF!</definedName>
    <definedName name="durée_instal">#REF!</definedName>
    <definedName name="Dv">#REF!</definedName>
    <definedName name="Dvv">#REF!</definedName>
    <definedName name="DZD">#REF!</definedName>
    <definedName name="E">#REF!</definedName>
    <definedName name="E_1">#REF!</definedName>
    <definedName name="Eair">#REF!</definedName>
    <definedName name="Eallow">#REF!</definedName>
    <definedName name="earth" hidden="1">{"'Sheet1'!$A$4386:$N$4591"}</definedName>
    <definedName name="earth_s">#REF!</definedName>
    <definedName name="earths">#REF!</definedName>
    <definedName name="eawerawea">#REF!</definedName>
    <definedName name="EB_Total">#REF!</definedName>
    <definedName name="Ec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ATE">#REF!</definedName>
    <definedName name="ee">#REF!</definedName>
    <definedName name="eee" hidden="1">{"'Summary'!$A$1:$J$46"}</definedName>
    <definedName name="eeee" hidden="1">{"'Summary'!$A$1:$J$46"}</definedName>
    <definedName name="eeeeeeeeeeeeeee" hidden="1">{"'Sheet1'!$A$4386:$N$4591"}</definedName>
    <definedName name="eeeeeeeeeeeeeeee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EEEEEEEEEEEEEEEEE">#REF!</definedName>
    <definedName name="eeeeeeeeeeeeeeeeee" hidden="1">#REF!</definedName>
    <definedName name="eeeeeeeeeeeeeeeeeeee" hidden="1">{"'Sheet1'!$A$4386:$N$4591"}</definedName>
    <definedName name="eeeeeeeeeeeeeeeeeeeee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Eela">#REF!</definedName>
    <definedName name="eela2">#REF!</definedName>
    <definedName name="eelat">#REF!</definedName>
    <definedName name="EEPE" hidden="1">{"'Summary'!$A$1:$J$46"}</definedName>
    <definedName name="EEpi">#REF!</definedName>
    <definedName name="EEQ" hidden="1">{"'Summary'!$A$1:$J$46"}</definedName>
    <definedName name="EEst">#REF!</definedName>
    <definedName name="ef" hidden="1">{"'PROFITABILITY'!$A$1:$F$45"}</definedName>
    <definedName name="EGP">#REF!</definedName>
    <definedName name="egsdgsgegg" hidden="1">{"'Sheet1'!$A$4386:$N$4591"}</definedName>
    <definedName name="eheh">#REF!</definedName>
    <definedName name="ei">#REF!</definedName>
    <definedName name="eii">#REF!</definedName>
    <definedName name="eiii">#REF!</definedName>
    <definedName name="elb">#REF!</definedName>
    <definedName name="elm">#REF!</definedName>
    <definedName name="elp">#REF!</definedName>
    <definedName name="elt">#REF!</definedName>
    <definedName name="Em">#REF!</definedName>
    <definedName name="Em___0">#REF!</definedName>
    <definedName name="Em___13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bed">#REF!</definedName>
    <definedName name="Emesh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etteur__prechan">#REF!</definedName>
    <definedName name="Emf">#REF!</definedName>
    <definedName name="eml">#REF!</definedName>
    <definedName name="EMOL">#REF!</definedName>
    <definedName name="ems" hidden="1">{"INVERSIONES",#N/A,FALSE,"Impresion"}</definedName>
    <definedName name="END">#REF!</definedName>
    <definedName name="End_Bal">#REF!</definedName>
    <definedName name="endtype">#REF!</definedName>
    <definedName name="ENG">#REF!</definedName>
    <definedName name="Enot">#REF!</definedName>
    <definedName name="ep">#REF!</definedName>
    <definedName name="Epi">#REF!</definedName>
    <definedName name="Epi_1">#REF!</definedName>
    <definedName name="Equation">#REF!</definedName>
    <definedName name="EQWE">#REF!</definedName>
    <definedName name="er">#REF!</definedName>
    <definedName name="ere">#REF!</definedName>
    <definedName name="erec">#REF!</definedName>
    <definedName name="erection">#REF!</definedName>
    <definedName name="Erection_Cost">#REF!</definedName>
    <definedName name="Erection_Sales">#REF!</definedName>
    <definedName name="ERER">#REF!</definedName>
    <definedName name="erew" hidden="1">{"INVERSIONES",#N/A,FALSE,"Impresion"}</definedName>
    <definedName name="erg">#REF!</definedName>
    <definedName name="erh">#REF!</definedName>
    <definedName name="erhehgdndjth">#REF!</definedName>
    <definedName name="ERTGSDV">#REF!</definedName>
    <definedName name="Es">#REF!</definedName>
    <definedName name="Es___0">#REF!</definedName>
    <definedName name="Es___13">#REF!</definedName>
    <definedName name="Es_1">#REF!</definedName>
    <definedName name="Esa">#REF!</definedName>
    <definedName name="Esc">#REF!</definedName>
    <definedName name="esc_1">#REF!</definedName>
    <definedName name="ESC_2">#REF!</definedName>
    <definedName name="Ess">#REF!</definedName>
    <definedName name="Est">#REF!</definedName>
    <definedName name="Est_1">#REF!</definedName>
    <definedName name="Estep">#REF!</definedName>
    <definedName name="Estomate">INDIRECT("'workbill proforma'!H"&amp;MATCH(#REF!,#REF!,0)+10)</definedName>
    <definedName name="estpl">#REF!</definedName>
    <definedName name="esv">#REF!</definedName>
    <definedName name="Et">#REF!</definedName>
    <definedName name="Et___0">#REF!</definedName>
    <definedName name="Et___13">#REF!</definedName>
    <definedName name="Eta">#REF!</definedName>
    <definedName name="Eta_1">#REF!</definedName>
    <definedName name="eta0">#REF!</definedName>
    <definedName name="etaa">#REF!</definedName>
    <definedName name="Eth">#REF!</definedName>
    <definedName name="eto">#REF!</definedName>
    <definedName name="Etouch">#REF!</definedName>
    <definedName name="Ett">#REF!</definedName>
    <definedName name="etta">#REF!</definedName>
    <definedName name="EUR_MAD">#REF!</definedName>
    <definedName name="eur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__LASTREFTIME__" hidden="1">39652.4078240741</definedName>
    <definedName name="EW" hidden="1">{"'Summary'!$A$1:$J$46"}</definedName>
    <definedName name="ewe">#REF!</definedName>
    <definedName name="EWEQEWE">#REF!</definedName>
    <definedName name="ewew">#REF!</definedName>
    <definedName name="ewre" hidden="1">#REF!</definedName>
    <definedName name="ewrewf" hidden="1">{"INVERSIONES",#N/A,FALSE,"Impresion"}</definedName>
    <definedName name="EWS" hidden="1">{"'Summary'!$A$1:$J$46"}</definedName>
    <definedName name="excavtion_offset">#REF!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_1">#REF!</definedName>
    <definedName name="Excel_BuiltIn__FilterDatabase_2">#REF!</definedName>
    <definedName name="Excel_BuiltIn_Database_0">"$#REF!.$A$1:$N$4078"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6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2">#REF!</definedName>
    <definedName name="Excel_BuiltIn_Print_Area_4_4">#REF!</definedName>
    <definedName name="Excel_BuiltIn_Print_Area_4_6">#REF!</definedName>
    <definedName name="Excel_BuiltIn_Print_Area_5_1">#REF!</definedName>
    <definedName name="Excel_BuiltIn_Print_Area_5_1_1">#REF!</definedName>
    <definedName name="Excel_BuiltIn_Print_Area_5_1_1_1_1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7_1">#REF!</definedName>
    <definedName name="Excel_BuiltIn_Print_Area_8">#REF!</definedName>
    <definedName name="Excel_BuiltIn_Print_Area_8_1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>#REF!</definedName>
    <definedName name="Excel_BuiltIn_Print_Titles_10">#REF!,#REF!</definedName>
    <definedName name="Excel_BuiltIn_Print_Titles_16">#REF!,#REF!</definedName>
    <definedName name="Excel_BuiltIn_Print_Titles_17">#REF!,#REF!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3">#REF!</definedName>
    <definedName name="Excel_BuiltIn_Print_Titles_3_1">#REF!</definedName>
    <definedName name="Excel_BuiltIn_Print_Titles_3_1_1">"$#REF!.$A$6:$IP$8"</definedName>
    <definedName name="Excel_BuiltIn_Print_Titles_4_1">#REF!</definedName>
    <definedName name="Excel_BuiltIn_Print_Titles_4_1_1">#REF!</definedName>
    <definedName name="Excel_BuiltIn_Print_Titles_5">#REF!</definedName>
    <definedName name="Excel_BuiltIn_Print_Titles_5_1">#REF!</definedName>
    <definedName name="Excel_BuiltIn_Print_Titles_5_1_1">#REF!,#REF!</definedName>
    <definedName name="Excel_BuiltIn_Print_Titles_5_1_1_1">#REF!,#REF!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_1">(#REF!,#REF!)</definedName>
    <definedName name="Excel_BuiltIn_Print_Titles_7_1_1">#REF!</definedName>
    <definedName name="Excel_BuiltIn_Print_Titles_7_1_1_1">#REF!</definedName>
    <definedName name="Excel_BuiltIn_Print_Titles_8_1">#REF!</definedName>
    <definedName name="Excel_BuiltIn_Recorder">#REF!</definedName>
    <definedName name="Excel_PSU_Info">#REF!</definedName>
    <definedName name="Excel_System_Configurations">#REF!</definedName>
    <definedName name="Exchange_rate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">#REF!</definedName>
    <definedName name="exp_ch">#REF!</definedName>
    <definedName name="EXPHEADS">#REF!</definedName>
    <definedName name="external">#REF!</definedName>
    <definedName name="Extra_Pay">#REF!</definedName>
    <definedName name="_xlnm.Extract">#REF!</definedName>
    <definedName name="EXTRW">#REF!</definedName>
    <definedName name="exwks">#REF!</definedName>
    <definedName name="f">#REF!</definedName>
    <definedName name="F_1">#REF!</definedName>
    <definedName name="fa">#REF!</definedName>
    <definedName name="fac">0.825</definedName>
    <definedName name="facplc">#REF!</definedName>
    <definedName name="fact_Ach_Ch">#REF!</definedName>
    <definedName name="fact_ach_charpente">#REF!</definedName>
    <definedName name="fact_arr_tr">#REF!</definedName>
    <definedName name="fact_cfr">#REF!</definedName>
    <definedName name="fact_civil">#REF!</definedName>
    <definedName name="fact_euro">#REF!</definedName>
    <definedName name="fact_euros">#REF!</definedName>
    <definedName name="fact_fob">#REF!</definedName>
    <definedName name="fact_Marge">#REF!</definedName>
    <definedName name="fact_marge_BT">#REF!</definedName>
    <definedName name="fact_marge_câble">#REF!</definedName>
    <definedName name="fact_marge_Ch">#REF!</definedName>
    <definedName name="fact_marge_divers">#REF!</definedName>
    <definedName name="fact_marge_eaui">#REF!</definedName>
    <definedName name="fact_marge_equi">#REF!</definedName>
    <definedName name="fact_marge_HF">#REF!</definedName>
    <definedName name="fact_marge_HT">#REF!</definedName>
    <definedName name="fact_marge_MT">#REF!</definedName>
    <definedName name="fact_marge_SA">#REF!</definedName>
    <definedName name="fact_mont_charp">#REF!</definedName>
    <definedName name="fact_quant_trav">#REF!</definedName>
    <definedName name="fact_taux_hor">#REF!</definedName>
    <definedName name="fact_taux_mont">#REF!</definedName>
    <definedName name="fact_taxes">#REF!</definedName>
    <definedName name="fact_taxes_four">#REF!</definedName>
    <definedName name="fact_th">#REF!</definedName>
    <definedName name="fact_th_mont">#REF!</definedName>
    <definedName name="fact_th_pose">#REF!</definedName>
    <definedName name="fact_th_racc">#REF!</definedName>
    <definedName name="fact_trd">#REF!</definedName>
    <definedName name="fact_trd2">#REF!</definedName>
    <definedName name="fact_trtr">#REF!</definedName>
    <definedName name="fact_trtr2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ultSettingTable">#REF!</definedName>
    <definedName name="Fb">#REF!</definedName>
    <definedName name="FC">#REF!</definedName>
    <definedName name="fcat">#REF!</definedName>
    <definedName name="fcbc">#REF!</definedName>
    <definedName name="fcbt">#REF!</definedName>
    <definedName name="fck">#REF!</definedName>
    <definedName name="fckfck">#REF!</definedName>
    <definedName name="FCL">#REF!</definedName>
    <definedName name="FCode" hidden="1">#REF!</definedName>
    <definedName name="Fcost">#REF!</definedName>
    <definedName name="FCR">#REF!</definedName>
    <definedName name="fcs">#REF!</definedName>
    <definedName name="fcu">#REF!</definedName>
    <definedName name="Fd">#REF!</definedName>
    <definedName name="fda">#REF!</definedName>
    <definedName name="fdb">#REF!</definedName>
    <definedName name="FDF">#REF!</definedName>
    <definedName name="fdfdf">#REF!</definedName>
    <definedName name="fdfer6">#REF!</definedName>
    <definedName name="fdhd">#REF!</definedName>
    <definedName name="fdjkfdkj" hidden="1">{"gravta",#N/A,FALSE,"GrafFact";"GRABAI",#N/A,FALSE,"GrafBAI";"GRABDI",#N/A,FALSE,"GrafBDI"}</definedName>
    <definedName name="Fdl">#REF!</definedName>
    <definedName name="FDN">#REF!</definedName>
    <definedName name="Fdn_Dsgn_X" hidden="1">#REF!</definedName>
    <definedName name="Fdr">#REF!</definedName>
    <definedName name="fdre54">#REF!</definedName>
    <definedName name="fdsdafas" hidden="1">{"'TP-SUMMARY'!$I$11:$K$11"}</definedName>
    <definedName name="feb_qty_rev_3">#REF!</definedName>
    <definedName name="feb_rev4_qty">#REF!</definedName>
    <definedName name="feb03rate">#REF!</definedName>
    <definedName name="FENCE1">#REF!</definedName>
    <definedName name="fEQAvz">#REF!</definedName>
    <definedName name="Ff">#REF!</definedName>
    <definedName name="ff_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fffffffffffffffff" hidden="1">#REF!</definedName>
    <definedName name="fffffffffffffffffff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g" hidden="1">{"form-D1",#N/A,FALSE,"FORM-D1";"form-D1_amt",#N/A,FALSE,"FORM-D1"}</definedName>
    <definedName name="ffg">#REF!</definedName>
    <definedName name="FFN">#REF!</definedName>
    <definedName name="FFV">#REF!</definedName>
    <definedName name="fg">#REF!</definedName>
    <definedName name="fgd" hidden="1">{#N/A,#N/A,FALSE,"Main"}</definedName>
    <definedName name="fgf">#REF!</definedName>
    <definedName name="FGFGF" hidden="1">{#N/A,#N/A,FALSE,"MODULE3"}</definedName>
    <definedName name="FGFGFG">#REF!</definedName>
    <definedName name="FGFGFGFGGG">#REF!</definedName>
    <definedName name="FGFGGFGFG">#REF!</definedName>
    <definedName name="fgj">#REF!</definedName>
    <definedName name="fgjfjf">#REF!</definedName>
    <definedName name="fgjfjtjrt">#REF!</definedName>
    <definedName name="FGL">#REF!</definedName>
    <definedName name="FGNFN">#REF!</definedName>
    <definedName name="fgrsfd">#REF!</definedName>
    <definedName name="fgrt">#REF!</definedName>
    <definedName name="fgtr">#REF!</definedName>
    <definedName name="fgtrde">#REF!</definedName>
    <definedName name="fgtrgfrdt54">#REF!</definedName>
    <definedName name="FGV">#REF!</definedName>
    <definedName name="Fh">#REF!</definedName>
    <definedName name="Fha">#REF!</definedName>
    <definedName name="fhfgfhgfh">#REF!</definedName>
    <definedName name="FHH">#REF!</definedName>
    <definedName name="Fhwa">#REF!</definedName>
    <definedName name="Fhwl">#REF!</definedName>
    <definedName name="Fi">#REF!</definedName>
    <definedName name="FIM">#REF!</definedName>
    <definedName name="FIT">#REF!</definedName>
    <definedName name="FIT___0">#REF!</definedName>
    <definedName name="FIT___13">#REF!</definedName>
    <definedName name="five">#REF!</definedName>
    <definedName name="fjhgfd" hidden="1">{"'Sheet1'!$A$4386:$N$4591"}</definedName>
    <definedName name="fjhgfd_1" hidden="1">{"'Sheet1'!$A$4386:$N$4591"}</definedName>
    <definedName name="fk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>#REF!</definedName>
    <definedName name="foa">#REF!</definedName>
    <definedName name="Formula">#REF!</definedName>
    <definedName name="forthemonth">#REF!</definedName>
    <definedName name="FOS.NLC">#REF!</definedName>
    <definedName name="FOS.SCF">#REF!</definedName>
    <definedName name="Fp">#REF!</definedName>
    <definedName name="Fpi">#REF!</definedName>
    <definedName name="Fpi_1">#REF!</definedName>
    <definedName name="Fpi0">#REF!</definedName>
    <definedName name="fpikg">#REF!</definedName>
    <definedName name="fpikn">#REF!</definedName>
    <definedName name="Fr">#REF!</definedName>
    <definedName name="francis">#REF!</definedName>
    <definedName name="FRANCS">#REF!</definedName>
    <definedName name="free">#REF!</definedName>
    <definedName name="freq">#REF!</definedName>
    <definedName name="frght">#REF!</definedName>
    <definedName name="Frl">#REF!</definedName>
    <definedName name="frnorms">#REF!</definedName>
    <definedName name="Frr">#REF!</definedName>
    <definedName name="frtg">#REF!</definedName>
    <definedName name="Fs">#REF!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c">#REF!</definedName>
    <definedName name="fscc">#REF!</definedName>
    <definedName name="FSCDI">#REF!</definedName>
    <definedName name="FSCDO">#REF!</definedName>
    <definedName name="fsdfa">#REF!</definedName>
    <definedName name="fsdfs">#REF!</definedName>
    <definedName name="fsdg">#REF!</definedName>
    <definedName name="fsdgfsgdfgsdf">#REF!</definedName>
    <definedName name="FSF">#REF!</definedName>
    <definedName name="fsg">#REF!</definedName>
    <definedName name="Fskin">#REF!</definedName>
    <definedName name="fso">#REF!</definedName>
    <definedName name="fss">#REF!</definedName>
    <definedName name="Fst">#REF!</definedName>
    <definedName name="Fst_1">#REF!</definedName>
    <definedName name="fsteel">#REF!</definedName>
    <definedName name="fsw">#REF!</definedName>
    <definedName name="Ft">#REF!</definedName>
    <definedName name="Ft_1">#REF!</definedName>
    <definedName name="FT0">#REF!</definedName>
    <definedName name="fto">#REF!</definedName>
    <definedName name="Ftot">#REF!</definedName>
    <definedName name="ftss" hidden="1">{"FTS",#N/A,FALSE,"E"}</definedName>
    <definedName name="FTV">#REF!</definedName>
    <definedName name="FTVN">#REF!</definedName>
    <definedName name="FUGIGIULQWG" hidden="1">{"PLANT BREAKUP",#N/A,FALSE,"E"}</definedName>
    <definedName name="Full_Print">#REF!</definedName>
    <definedName name="funds" hidden="1">{"'Sheet1'!$A$4386:$N$4591"}</definedName>
    <definedName name="funds_1" hidden="1">{"'Sheet1'!$A$4386:$N$4591"}</definedName>
    <definedName name="Fv">#REF!</definedName>
    <definedName name="Fv_1">#REF!</definedName>
    <definedName name="FVd">#REF!</definedName>
    <definedName name="Fvl">#REF!</definedName>
    <definedName name="Fvr">#REF!</definedName>
    <definedName name="fvv">#REF!</definedName>
    <definedName name="fw">#REF!</definedName>
    <definedName name="Fwc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ld">#REF!</definedName>
    <definedName name="fysteel">#REF!</definedName>
    <definedName name="fyy">#REF!</definedName>
    <definedName name="G">#REF!</definedName>
    <definedName name="g65d9">#REF!</definedName>
    <definedName name="gama">#REF!</definedName>
    <definedName name="gamah">#REF!</definedName>
    <definedName name="gamma">#REF!</definedName>
    <definedName name="gammab">#REF!</definedName>
    <definedName name="gammas">#REF!</definedName>
    <definedName name="GATE">#REF!</definedName>
    <definedName name="GBDFG">#REF!</definedName>
    <definedName name="GBP">#REF!</definedName>
    <definedName name="gbv">#REF!</definedName>
    <definedName name="gc">#REF!</definedName>
    <definedName name="Gci">#REF!</definedName>
    <definedName name="gd">#REF!</definedName>
    <definedName name="GDFAC">#REF!</definedName>
    <definedName name="GDGSDGG">#REF!</definedName>
    <definedName name="gdgwg" hidden="1">{"FTS",#N/A,FALSE,"E"}</definedName>
    <definedName name="gdwilugi" hidden="1">{"CASH FLOW",#N/A,FALSE,"A"}</definedName>
    <definedName name="ge">#REF!</definedName>
    <definedName name="gegsegsddg" hidden="1">{"CASH FLOW",#N/A,FALSE,"A"}</definedName>
    <definedName name="GENDER_COMMENCEMENT">#REF!</definedName>
    <definedName name="Genesis" hidden="1">{"'Quotation'!$A$1:$G$1"}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t_brief_description_of_item">IF(#REF!&lt;#REF!,"0",#REF!)</definedName>
    <definedName name="get_item_rate_from_workbill">INDIRECT("'workbill proforma'!Q"&amp;MATCH(#REF!,#REF!,0)+10)</definedName>
    <definedName name="GEu">#REF!</definedName>
    <definedName name="gf">#REF!</definedName>
    <definedName name="gffert6">#REF!</definedName>
    <definedName name="GFGF">#REF!</definedName>
    <definedName name="gfrt">#REF!</definedName>
    <definedName name="gfrt56">#REF!</definedName>
    <definedName name="gfthh">#REF!</definedName>
    <definedName name="gftr">#REF!</definedName>
    <definedName name="gftr56">#REF!</definedName>
    <definedName name="GG">#REF!</definedName>
    <definedName name="GGF">#REF!</definedName>
    <definedName name="GGG" hidden="1">#REF!</definedName>
    <definedName name="GGGG">#REF!</definedName>
    <definedName name="gggggggggggggg" hidden="1">{#N/A,#N/A,FALSE,"Wadhal";#N/A,#N/A,FALSE,"Manglad U-S";#N/A,#N/A,FALSE,"Manglad D-S";#N/A,#N/A,FALSE,"Ratanpur U-S";#N/A,#N/A,FALSE,"Ratanpur D-S";#N/A,#N/A,FALSE,"VI Face"}</definedName>
    <definedName name="gggggggggggggggggg" hidden="1">{"'Sheet1'!$A$4386:$N$4591"}</definedName>
    <definedName name="gggggggggggggggggggg" hidden="1">{"'Sheet1'!$A$4386:$N$4591"}</definedName>
    <definedName name="gghghghghg">#REF!</definedName>
    <definedName name="GH">#REF!</definedName>
    <definedName name="ghghgdgeefe">#REF!</definedName>
    <definedName name="ghghgh">#REF!</definedName>
    <definedName name="ghghghgghghgh">#REF!</definedName>
    <definedName name="ghghghgh">#REF!</definedName>
    <definedName name="ghghghghgh">#REF!</definedName>
    <definedName name="ghhghghgghgh">#REF!</definedName>
    <definedName name="ghhjj">#REF!</definedName>
    <definedName name="ghj" hidden="1">{#N/A,#N/A,TRUE,"Config1";#N/A,#N/A,TRUE,"Config2";#N/A,#N/A,TRUE,"Config3";#N/A,#N/A,TRUE,"Config4";#N/A,#N/A,TRUE,"Config5";#N/A,#N/A,TRUE,"Config6";#N/A,#N/A,TRUE,"Config7"}</definedName>
    <definedName name="Gi">#REF!</definedName>
    <definedName name="girder.span">#REF!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#REF!</definedName>
    <definedName name="gjkgh">#REF!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y">#REF!</definedName>
    <definedName name="GlassFactors">#REF!</definedName>
    <definedName name="GlassType">#REF!</definedName>
    <definedName name="GlassTypeMenu">#REF!</definedName>
    <definedName name="GM">#REF!</definedName>
    <definedName name="GMD">#REF!</definedName>
    <definedName name="GMR">#REF!</definedName>
    <definedName name="GMRb">#REF!</definedName>
    <definedName name="gn">#REF!</definedName>
    <definedName name="gn_1">#REF!</definedName>
    <definedName name="gndfh">#REF!</definedName>
    <definedName name="gngn">#REF!</definedName>
    <definedName name="go">#REF!</definedName>
    <definedName name="gov">#REF!</definedName>
    <definedName name="grav">#REF!</definedName>
    <definedName name="GravelFill">#REF!</definedName>
    <definedName name="grgr">#REF!</definedName>
    <definedName name="GRID">#REF!</definedName>
    <definedName name="gross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sdghgjyj">#REF!</definedName>
    <definedName name="gsgsegesg" hidden="1">{"'Sheet1'!$A$4386:$N$4591"}</definedName>
    <definedName name="GT">#REF!</definedName>
    <definedName name="GT_Value">#REF!</definedName>
    <definedName name="GTval_Value">#REF!</definedName>
    <definedName name="GTvar_Value">#REF!</definedName>
    <definedName name="GUMMA">#REF!</definedName>
    <definedName name="GUS">#REF!</definedName>
    <definedName name="GUSAUX">#REF!</definedName>
    <definedName name="GUSSW">#REF!</definedName>
    <definedName name="GUSUSD">#REF!</definedName>
    <definedName name="Gvalue">#REF!</definedName>
    <definedName name="Gw">#REF!</definedName>
    <definedName name="gwt">#REF!</definedName>
    <definedName name="H">#REF!</definedName>
    <definedName name="H___0">#REF!</definedName>
    <definedName name="H___13">#REF!</definedName>
    <definedName name="H_1">#REF!</definedName>
    <definedName name="H0">#REF!</definedName>
    <definedName name="H0___0">#REF!</definedName>
    <definedName name="H0___13">#REF!</definedName>
    <definedName name="h1i">#REF!</definedName>
    <definedName name="hai">#REF!</definedName>
    <definedName name="HALDIA">#N/A</definedName>
    <definedName name="HANDL">#REF!</definedName>
    <definedName name="HARI">#REF!</definedName>
    <definedName name="HASSAN">#REF!</definedName>
    <definedName name="haul">#REF!</definedName>
    <definedName name="hbgy">#REF!</definedName>
    <definedName name="hc">#REF!</definedName>
    <definedName name="Hcbdw">#REF!</definedName>
    <definedName name="Hcw">#REF!</definedName>
    <definedName name="hdgsdf">#REF!</definedName>
    <definedName name="he">#REF!</definedName>
    <definedName name="head1">#REF!</definedName>
    <definedName name="head2">#REF!</definedName>
    <definedName name="head3">#REF!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er_Row">ROW(#REF!)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ed">#REF!</definedName>
    <definedName name="hello">#REF!</definedName>
    <definedName name="Help_Area">#REF!</definedName>
    <definedName name="her">#REF!</definedName>
    <definedName name="hf">#REF!</definedName>
    <definedName name="hfgfgtr.">#REF!</definedName>
    <definedName name="hfghfhertye5y5">#REF!</definedName>
    <definedName name="hfgjn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hfi">#REF!</definedName>
    <definedName name="hfi2_1">#REF!</definedName>
    <definedName name="hfi4_1">#REF!</definedName>
    <definedName name="hfi5_1">#REF!</definedName>
    <definedName name="hfi6_1">#REF!</definedName>
    <definedName name="hfi7_1">#REF!</definedName>
    <definedName name="hfi8_1">#REF!</definedName>
    <definedName name="hfm" hidden="1">{"CASH FLOW",#N/A,FALSE,"A"}</definedName>
    <definedName name="Hg">#REF!</definedName>
    <definedName name="hgdfhfjkg">#REF!</definedName>
    <definedName name="hghghghghgh">#REF!</definedName>
    <definedName name="hghhghgh">#REF!</definedName>
    <definedName name="HGNGH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H">#REF!</definedName>
    <definedName name="hhhhhhh">#REF!</definedName>
    <definedName name="hhhhhhhh">#REF!</definedName>
    <definedName name="hhhhhhhhh">#REF!</definedName>
    <definedName name="hhhhhhhhhhhhhhhhh" hidden="1">{"'Sheet1'!$A$4386:$N$4591"}</definedName>
    <definedName name="hhhhhhhhhhhhhhhhhhh" hidden="1">{"'Sheet1'!$A$4386:$N$4591"}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g">#REF!</definedName>
    <definedName name="HINDHUSTAN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GHJGHJ">#REF!</definedName>
    <definedName name="hjgj">#REF!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nnnnnnnnnnnnnnnn" hidden="1">{"'Sheet1'!$A$4386:$N$4591"}</definedName>
    <definedName name="ho">#REF!</definedName>
    <definedName name="ho___0">#REF!</definedName>
    <definedName name="ho___13">#REF!</definedName>
    <definedName name="ho_1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PC" hidden="1">{#N/A,#N/A,TRUE,"Vergabe-Regeln";#N/A,#N/A,TRUE,"Baugruppen";#N/A,#N/A,TRUE,"Geräte";#N/A,#N/A,TRUE,"PC-Software";#N/A,#N/A,TRUE,"Software";#N/A,#N/A,TRUE,"SW-Reg";#N/A,#N/A,TRUE,"Dokumentation"}</definedName>
    <definedName name="hpm">#REF!</definedName>
    <definedName name="HPMAUX">#REF!</definedName>
    <definedName name="HPMIO">#REF!</definedName>
    <definedName name="hr">#REF!</definedName>
    <definedName name="hrdhdfh" hidden="1">{#N/A,#N/A,FALSE,"Main"}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nc">1.2*1.675*1.055*1.5/13000</definedName>
    <definedName name="HSS">#REF!</definedName>
    <definedName name="ht">#REF!</definedName>
    <definedName name="ht_11OHL">#REF!</definedName>
    <definedName name="ht11ohl">#REF!</definedName>
    <definedName name="htdhdgngngdn">#REF!</definedName>
    <definedName name="hthree">#REF!</definedName>
    <definedName name="hthreef">#REF!</definedName>
    <definedName name="HTM">#REF!</definedName>
    <definedName name="HTML_CodePage" hidden="1">1252</definedName>
    <definedName name="HTML_Control" hidden="1">{"'TP-SUMMARY'!$I$11:$K$11"}</definedName>
    <definedName name="HTML_Control_1" hidden="1">{"'TP-SUMMARY'!$I$11:$K$11"}</definedName>
    <definedName name="HTML_control2" hidden="1">{"'Sheet1'!$A$4386:$N$4591"}</definedName>
    <definedName name="HTML_control2_1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>#REF!</definedName>
    <definedName name="htwo_1">#REF!</definedName>
    <definedName name="htwof">#REF!</definedName>
    <definedName name="Hu">#REF!</definedName>
    <definedName name="Hu___0">#REF!</definedName>
    <definedName name="Hu___13">#REF!</definedName>
    <definedName name="huy">{"'Sheet1'!$L$16"}</definedName>
    <definedName name="hw">#REF!</definedName>
    <definedName name="Hw_atm">#REF!</definedName>
    <definedName name="hwt">#REF!</definedName>
    <definedName name="hww">#REF!</definedName>
    <definedName name="HX">#REF!</definedName>
    <definedName name="HX_1">#REF!</definedName>
    <definedName name="hxa">#REF!</definedName>
    <definedName name="hxaa">#REF!</definedName>
    <definedName name="hxb">#REF!</definedName>
    <definedName name="hxbb">#REF!</definedName>
    <definedName name="hxc">#REF!</definedName>
    <definedName name="hxcc">#REF!</definedName>
    <definedName name="hxd">#REF!</definedName>
    <definedName name="hxd_1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xxxx">#REF!</definedName>
    <definedName name="hy" hidden="1">{"CASH FLOW",#N/A,FALSE,"A"}</definedName>
    <definedName name="hyio">#REF!</definedName>
    <definedName name="hyt654ddfvb">#REF!</definedName>
    <definedName name="Hz">#REF!</definedName>
    <definedName name="I">#REF!</definedName>
    <definedName name="I___0">#REF!</definedName>
    <definedName name="I___13">#REF!</definedName>
    <definedName name="I_1">#REF!</definedName>
    <definedName name="I2m">#REF!</definedName>
    <definedName name="i3phf">#REF!</definedName>
    <definedName name="IACS">#REF!</definedName>
    <definedName name="IAH">#REF!</definedName>
    <definedName name="IAM" hidden="1">{"'Sheet1'!$A$4386:$N$4591"}</definedName>
    <definedName name="IAM_1" hidden="1">{"'Sheet1'!$A$4386:$N$4591"}</definedName>
    <definedName name="iar">#REF!</definedName>
    <definedName name="icb">#REF!</definedName>
    <definedName name="idb">#REF!</definedName>
    <definedName name="idc_2">#REF!</definedName>
    <definedName name="idt">#REF!</definedName>
    <definedName name="idto">#REF!</definedName>
    <definedName name="idyn">#REF!</definedName>
    <definedName name="If">#REF!</definedName>
    <definedName name="If_1">#REF!</definedName>
    <definedName name="if_7">#REF!</definedName>
    <definedName name="IF_J_1_RUN__PROG1">#REF!</definedName>
    <definedName name="IFB">#REF!</definedName>
    <definedName name="ifif">#REF!</definedName>
    <definedName name="Ifmax">#REF!</definedName>
    <definedName name="Ifmax7">#REF!</definedName>
    <definedName name="ifz1_4">#REF!</definedName>
    <definedName name="Ig">#REF!</definedName>
    <definedName name="Ig___0">#REF!</definedName>
    <definedName name="Ig___13">#REF!</definedName>
    <definedName name="IGP_M">#REF!</definedName>
    <definedName name="Igrid">#REF!</definedName>
    <definedName name="II" hidden="1">{"CPRRES",#N/A,TRUE,"CPR";"CPRBAL",#N/A,TRUE,"CPR"}</definedName>
    <definedName name="iii">#REF!</definedName>
    <definedName name="iiiiiiiiiiiiiiiiiiiiiiii" hidden="1">{"'Summary'!$A$1:$J$46"}</definedName>
    <definedName name="IISO">#REF!</definedName>
    <definedName name="Ik">#REF!</definedName>
    <definedName name="ikmax">#REF!</definedName>
    <definedName name="Ikmax1">#REF!</definedName>
    <definedName name="Ikmax2">#REF!</definedName>
    <definedName name="Ikmax3">#REF!</definedName>
    <definedName name="IL">#REF!</definedName>
    <definedName name="ilgf">#REF!</definedName>
    <definedName name="illgf">#REF!</definedName>
    <definedName name="Im">#REF!</definedName>
    <definedName name="In">#REF!</definedName>
    <definedName name="increment">#REF!</definedName>
    <definedName name="India_Factor">#REF!</definedName>
    <definedName name="India_Sq_Ft">#REF!</definedName>
    <definedName name="Indice">#REF!</definedName>
    <definedName name="IndicesRange">#REF!</definedName>
    <definedName name="IndoorGrains">#REF!</definedName>
    <definedName name="Inflation">#REF!</definedName>
    <definedName name="Infra">#REF!</definedName>
    <definedName name="INPUT">#REF!</definedName>
    <definedName name="inputval">#REF!</definedName>
    <definedName name="Ins">#REF!</definedName>
    <definedName name="INSCON">#REF!</definedName>
    <definedName name="insertplate_and_exp_joint">#REF!</definedName>
    <definedName name="Insl">#REF!</definedName>
    <definedName name="Installed_Spare">#REF!</definedName>
    <definedName name="INSTTYPE">#REF!</definedName>
    <definedName name="Insurance">#REF!</definedName>
    <definedName name="INT">#REF!</definedName>
    <definedName name="Interest_Rate">#REF!</definedName>
    <definedName name="IntroPrintArea" hidden="1">#REF!</definedName>
    <definedName name="intsen">#REF!</definedName>
    <definedName name="INV." hidden="1">{"gravta",#N/A,FALSE,"GrafFact";"GRABAI",#N/A,FALSE,"GrafBAI";"GRABDI",#N/A,FALSE,"GrafBDI"}</definedName>
    <definedName name="Inv.servicios" hidden="1">{"INVERSIONES",#N/A,FALSE,"Impresion"}</definedName>
    <definedName name="INVERS.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Inversiones" hidden="1">{"INVERSIONES",#N/A,FALSE,"Impresion"}</definedName>
    <definedName name="IOM">#REF!</definedName>
    <definedName name="ip">#REF!</definedName>
    <definedName name="ipn">#REF!</definedName>
    <definedName name="IPO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s">#REF!</definedName>
    <definedName name="Isc">#REF!</definedName>
    <definedName name="Iscc">#REF!</definedName>
    <definedName name="Iscmax">#REF!</definedName>
    <definedName name="Iscmax1">#REF!</definedName>
    <definedName name="Iscmax2">#REF!</definedName>
    <definedName name="Iscmax3">#REF!</definedName>
    <definedName name="isn">#REF!</definedName>
    <definedName name="ISO">#REF!</definedName>
    <definedName name="issue_summ">#REF!</definedName>
    <definedName name="issue_summary1">#REF!</definedName>
    <definedName name="IT">#REF!</definedName>
    <definedName name="item">#REF!</definedName>
    <definedName name="itmax">#REF!</definedName>
    <definedName name="Itmax3">#REF!</definedName>
    <definedName name="itmax3f3">#REF!</definedName>
    <definedName name="J">#REF!</definedName>
    <definedName name="j_1">#REF!</definedName>
    <definedName name="jap" hidden="1">{"FTS",#N/A,FALSE,"E"}</definedName>
    <definedName name="jay">#REF!</definedName>
    <definedName name="Jd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f">#REF!</definedName>
    <definedName name="JH">#REF!</definedName>
    <definedName name="jhgfk">#REF!</definedName>
    <definedName name="jhgj" hidden="1">{"COST",#N/A,FALSE,"SYNTHESE";"MARGIN",#N/A,FALSE,"SYNTHESE";"LOT_COM",#N/A,FALSE,"SYNTHESE"}</definedName>
    <definedName name="jhy">#REF!</definedName>
    <definedName name="jhyut6">#REF!</definedName>
    <definedName name="jj">#REF!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jjjjjjjjjjjjjjjjjjj" hidden="1">{#N/A,#N/A,TRUE,"Config1";#N/A,#N/A,TRUE,"Config2";#N/A,#N/A,TRUE,"Config3";#N/A,#N/A,TRUE,"Config4";#N/A,#N/A,TRUE,"Config5";#N/A,#N/A,TRUE,"Config6";#N/A,#N/A,TRUE,"Config7"}</definedName>
    <definedName name="jjjjjjjjjjjjjjjjjjjjjjjjjjjjjj" hidden="1">{"'Sheet1'!$A$4386:$N$4591"}</definedName>
    <definedName name="jjttttttttttttttttttttttt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jk">#REF!</definedName>
    <definedName name="jkgh">#REF!</definedName>
    <definedName name="jkl">#REF!</definedName>
    <definedName name="jkyu">#REF!</definedName>
    <definedName name="JMa" hidden="1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NO">#REF!</definedName>
    <definedName name="Jobtypes">#REF!</definedName>
    <definedName name="jos">#REF!</definedName>
    <definedName name="jsjfjff">#REF!</definedName>
    <definedName name="jtejt">#REF!</definedName>
    <definedName name="jtjgf">#REF!</definedName>
    <definedName name="juhygt">#REF!</definedName>
    <definedName name="jul03rate">#REF!</definedName>
    <definedName name="jun03rate">#REF!</definedName>
    <definedName name="jva">#REF!</definedName>
    <definedName name="K">#REF!</definedName>
    <definedName name="K___0">#REF!</definedName>
    <definedName name="K___13">#REF!</definedName>
    <definedName name="k_1">#REF!</definedName>
    <definedName name="k_2">#REF!</definedName>
    <definedName name="K_3">#REF!</definedName>
    <definedName name="K_a">#REF!</definedName>
    <definedName name="K_Appro">1.005</definedName>
    <definedName name="K_b">#REF!</definedName>
    <definedName name="K_FRFenEUR">6.55957</definedName>
    <definedName name="K_XEU">6.55957</definedName>
    <definedName name="k0">#REF!</definedName>
    <definedName name="K1_">#REF!</definedName>
    <definedName name="k1_table">#REF!</definedName>
    <definedName name="k1fact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A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>#REF!</definedName>
    <definedName name="KBAT">#REF!</definedName>
    <definedName name="KBATL">#REF!</definedName>
    <definedName name="KBT">#REF!</definedName>
    <definedName name="kc">#REF!</definedName>
    <definedName name="kc_1">#REF!</definedName>
    <definedName name="KCIN">#REF!</definedName>
    <definedName name="Kd">#REF!</definedName>
    <definedName name="KETU">#REF!</definedName>
    <definedName name="KETUL">#REF!</definedName>
    <definedName name="KF">#REF!</definedName>
    <definedName name="kfhj" hidden="1">{"gravta",#N/A,FALSE,"GrafFact";"GRABAI",#N/A,FALSE,"GrafBAI";"GRABDI",#N/A,FALSE,"GrafBDI"}</definedName>
    <definedName name="KGC">#REF!</definedName>
    <definedName name="KGCL">#REF!</definedName>
    <definedName name="KGIS">#REF!</definedName>
    <definedName name="Kh">#REF!</definedName>
    <definedName name="Kh___0">#REF!</definedName>
    <definedName name="Kh___13">#REF!</definedName>
    <definedName name="KHF" hidden="1">{"PLANNING",#N/A,FALSE,"A"}</definedName>
    <definedName name="KHJKHKHJK">#REF!</definedName>
    <definedName name="KHT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id">#REF!</definedName>
    <definedName name="KIL" hidden="1">{"PLANT BREAKUP",#N/A,FALSE,"E"}</definedName>
    <definedName name="Kim">#REF!</definedName>
    <definedName name="Kis">#REF!</definedName>
    <definedName name="kj">#REF!</definedName>
    <definedName name="kk">#REF!</definedName>
    <definedName name="KKK" hidden="1">{#N/A,#N/A,FALSE,"MODULE3"}</definedName>
    <definedName name="KKKK" hidden="1">{"ss",#N/A,FALSE,"MODULE3"}</definedName>
    <definedName name="KKKKK" hidden="1">{"ss",#N/A,FALSE,"MODULE3"}</definedName>
    <definedName name="kl">#REF!</definedName>
    <definedName name="klkljkljkljl">#REF!</definedName>
    <definedName name="klsasK">#REF!</definedName>
    <definedName name="Km">#REF!</definedName>
    <definedName name="Km___0">#REF!</definedName>
    <definedName name="Km___13">#REF!</definedName>
    <definedName name="KMO">#REF!</definedName>
    <definedName name="KMONT">#REF!</definedName>
    <definedName name="KMONTL">#REF!</definedName>
    <definedName name="KMT">#REF!</definedName>
    <definedName name="ko">#REF!</definedName>
    <definedName name="KOA">#REF!</definedName>
    <definedName name="KOC">#REF!</definedName>
    <definedName name="KOE">#REF!</definedName>
    <definedName name="Koldam">#REF!</definedName>
    <definedName name="Kone">#REF!</definedName>
    <definedName name="KP">#REF!</definedName>
    <definedName name="Kpdr">#REF!</definedName>
    <definedName name="KPO">#REF!</definedName>
    <definedName name="kr">#REF!</definedName>
    <definedName name="KRPA">#REF!</definedName>
    <definedName name="Ks">#REF!</definedName>
    <definedName name="Ks___0">#REF!</definedName>
    <definedName name="Ks___13">#REF!</definedName>
    <definedName name="Ks_1">#REF!</definedName>
    <definedName name="kscc">#REF!</definedName>
    <definedName name="KSEHV">#REF!</definedName>
    <definedName name="KSK">#REF!</definedName>
    <definedName name="KST">#REF!</definedName>
    <definedName name="kt">#REF!</definedName>
    <definedName name="ktd">#REF!</definedName>
    <definedName name="ktda1">#REF!</definedName>
    <definedName name="ktda2">#REF!</definedName>
    <definedName name="ktda3">#REF!</definedName>
    <definedName name="ktdb1">#REF!</definedName>
    <definedName name="ktdb2">#REF!</definedName>
    <definedName name="ktdb3">#REF!</definedName>
    <definedName name="KTRA">#REF!</definedName>
    <definedName name="KTRNG">#REF!</definedName>
    <definedName name="KTRSP">#REF!</definedName>
    <definedName name="KTRSPL">#REF!</definedName>
    <definedName name="Ktwo">#REF!</definedName>
    <definedName name="kw">#REF!</definedName>
    <definedName name="KWAKU">#N/A</definedName>
    <definedName name="L">#REF!</definedName>
    <definedName name="L___0">#REF!</definedName>
    <definedName name="L___13">#REF!</definedName>
    <definedName name="l_1">#REF!</definedName>
    <definedName name="L_Face">#REF!</definedName>
    <definedName name="L_T_PY_RSTL_RB_55">#REF!</definedName>
    <definedName name="l0">#REF!</definedName>
    <definedName name="l1x">#REF!</definedName>
    <definedName name="l1xx">#REF!</definedName>
    <definedName name="l2x">#REF!</definedName>
    <definedName name="l2xx">#REF!</definedName>
    <definedName name="l32.">#REF!</definedName>
    <definedName name="l3input">#REF!</definedName>
    <definedName name="l3input2">#REF!</definedName>
    <definedName name="l3inputD">#REF!</definedName>
    <definedName name="LA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ast_Row">IF(#REF!,Header_Row+#REF!,Header_Row)</definedName>
    <definedName name="latest_SRP">#REF!</definedName>
    <definedName name="LATH">#REF!</definedName>
    <definedName name="LBA">#REF!</definedName>
    <definedName name="Lbc">#REF!</definedName>
    <definedName name="Lbe">#REF!</definedName>
    <definedName name="Lbpb">#REF!</definedName>
    <definedName name="Lbpl">#REF!</definedName>
    <definedName name="Lbr">#REF!</definedName>
    <definedName name="lbrod">#REF!</definedName>
    <definedName name="lc">#REF!</definedName>
    <definedName name="Lc___0">#REF!</definedName>
    <definedName name="Lc___13">#REF!</definedName>
    <definedName name="Lc_1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n">#REF!</definedName>
    <definedName name="LCNAUX">#REF!</definedName>
    <definedName name="lcr">#REF!</definedName>
    <definedName name="lcs">#REF!</definedName>
    <definedName name="LD">#REF!</definedName>
    <definedName name="ldlen1">#REF!</definedName>
    <definedName name="ldlen2">#REF!</definedName>
    <definedName name="Le">#REF!</definedName>
    <definedName name="lef">#REF!</definedName>
    <definedName name="lel">#REF!</definedName>
    <definedName name="len">#REF!</definedName>
    <definedName name="Lencon">#REF!</definedName>
    <definedName name="Length_of_cable_tray">#REF!</definedName>
    <definedName name="Lenin">#REF!</definedName>
    <definedName name="levy">#REF!</definedName>
    <definedName name="levy2">#REF!</definedName>
    <definedName name="lex">#REF!</definedName>
    <definedName name="ley">#REF!</definedName>
    <definedName name="lfanal">#REF!</definedName>
    <definedName name="lfo">#REF!</definedName>
    <definedName name="lfoot">#REF!</definedName>
    <definedName name="LG">#REF!</definedName>
    <definedName name="lh">#REF!</definedName>
    <definedName name="li">#REF!</definedName>
    <definedName name="li_1">#REF!</definedName>
    <definedName name="lieu">#REF!</definedName>
    <definedName name="light">#REF!</definedName>
    <definedName name="LIGNO">#REF!</definedName>
    <definedName name="limcount" hidden="1">1</definedName>
    <definedName name="lincoeff">#REF!</definedName>
    <definedName name="line3">#REF!</definedName>
    <definedName name="line4">#REF!</definedName>
    <definedName name="LIRA">#REF!</definedName>
    <definedName name="LIS_F">#REF!</definedName>
    <definedName name="LISFP">#REF!</definedName>
    <definedName name="list">#REF!</definedName>
    <definedName name="LKJ">#REF!</definedName>
    <definedName name="lkkl">#REF!</definedName>
    <definedName name="lklkljl" hidden="1">{"SUMMARY",#N/A,FALSE,"C"}</definedName>
    <definedName name="Ll">#REF!</definedName>
    <definedName name="ll_1">#REF!</definedName>
    <definedName name="Lm">#REF!</definedName>
    <definedName name="LMAUX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h">#REF!</definedName>
    <definedName name="LMO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K56A">#REF!</definedName>
    <definedName name="lo">#REF!</definedName>
    <definedName name="Load">#REF!</definedName>
    <definedName name="Loan_Amount">#REF!</definedName>
    <definedName name="Loan_Start">#REF!</definedName>
    <definedName name="Loan_Years">#REF!</definedName>
    <definedName name="loc">#REF!</definedName>
    <definedName name="LOC_F">#REF!</definedName>
    <definedName name="Location">#REF!</definedName>
    <definedName name="logo1">"Picture 7"</definedName>
    <definedName name="logoa">#N/A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P_F">#REF!</definedName>
    <definedName name="losts">#REF!</definedName>
    <definedName name="Lotto">#REF!</definedName>
    <definedName name="lp">#REF!</definedName>
    <definedName name="Lph">#REF!</definedName>
    <definedName name="LPRM">292</definedName>
    <definedName name="LPSH">584</definedName>
    <definedName name="Lr">#REF!</definedName>
    <definedName name="Lr___0">#REF!</definedName>
    <definedName name="Lr___13">#REF!</definedName>
    <definedName name="Lr_1">#REF!</definedName>
    <definedName name="ls">#REF!</definedName>
    <definedName name="ls_1">#REF!</definedName>
    <definedName name="lsdfklsdfksdjfkl">#REF!</definedName>
    <definedName name="lso">#REF!</definedName>
    <definedName name="Lsump">#REF!</definedName>
    <definedName name="LT">#REF!</definedName>
    <definedName name="LTCG">#REF!</definedName>
    <definedName name="LTR">#REF!</definedName>
    <definedName name="Lum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v_ohl">#REF!</definedName>
    <definedName name="LV_schedule">#REF!</definedName>
    <definedName name="LVA">#REF!</definedName>
    <definedName name="lvo">#REF!</definedName>
    <definedName name="LVOH">#REF!</definedName>
    <definedName name="Lvohl">#REF!</definedName>
    <definedName name="lvol">#REF!</definedName>
    <definedName name="lvSCHEDULE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y">#REF!</definedName>
    <definedName name="M">#REF!</definedName>
    <definedName name="m___0">#REF!</definedName>
    <definedName name="m___13">#REF!</definedName>
    <definedName name="m_1">#REF!</definedName>
    <definedName name="M_A">#REF!</definedName>
    <definedName name="M_B">#REF!</definedName>
    <definedName name="M_s.MAMTHA_CONTRACTORS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v">#REF!</definedName>
    <definedName name="MAACONSTN">#REF!</definedName>
    <definedName name="Macro12">#REF!</definedName>
    <definedName name="Macro4">#REF!</definedName>
    <definedName name="Macro5">#REF!</definedName>
    <definedName name="Macro7">#REF!</definedName>
    <definedName name="Macro8">#REF!</definedName>
    <definedName name="Macro9">#REF!</definedName>
    <definedName name="MAHESH">#REF!</definedName>
    <definedName name="ma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in_Processor">#REF!</definedName>
    <definedName name="MainRelay">#REF!</definedName>
    <definedName name="maint_spare">#REF!</definedName>
    <definedName name="majord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03rate">#REF!</definedName>
    <definedName name="march_qty">#REF!</definedName>
    <definedName name="Mascon">#REF!</definedName>
    <definedName name="masspc">#REF!</definedName>
    <definedName name="Master">#REF!</definedName>
    <definedName name="MASTER_IOASSIGNMENT_270206">#REF!</definedName>
    <definedName name="MATHS">#REF!</definedName>
    <definedName name="MATL1">#REF!</definedName>
    <definedName name="may03rate">#REF!</definedName>
    <definedName name="Mb">#REF!</definedName>
    <definedName name="Mb_v">#REF!</definedName>
    <definedName name="mbn">#REF!</definedName>
    <definedName name="Mc">#REF!</definedName>
    <definedName name="MC_RACur">#REF!</definedName>
    <definedName name="Mc_v">#REF!</definedName>
    <definedName name="mcabb3501i5f">#REF!</definedName>
    <definedName name="mcabb3502i1bc8f">#REF!</definedName>
    <definedName name="mcabb5002i1bc8f">#REF!</definedName>
    <definedName name="Mcbdo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e">#REF!</definedName>
    <definedName name="Me_v">#REF!</definedName>
    <definedName name="MeanDepth_Inclusive_of_cover_sl._thk.">#REF!</definedName>
    <definedName name="Menu">#REF!</definedName>
    <definedName name="merchant">#REF!</definedName>
    <definedName name="merchantsen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fvncnf" hidden="1">{"'Sheet1'!$A$4386:$N$4591"}</definedName>
    <definedName name="Mg">#REF!</definedName>
    <definedName name="Mg_v">#REF!</definedName>
    <definedName name="Mh">#REF!</definedName>
    <definedName name="Mh_v">#REF!</definedName>
    <definedName name="mhmh" hidden="1">{"CASH FLOW",#N/A,FALSE,"A"}</definedName>
    <definedName name="Mhpc">#REF!:#REF!</definedName>
    <definedName name="Mhpipd">#REF!</definedName>
    <definedName name="Mhps">#REF!</definedName>
    <definedName name="mhr">#REF!</definedName>
    <definedName name="Mi">#REF!</definedName>
    <definedName name="Mid_Downstream">#REF!</definedName>
    <definedName name="Mii">#REF!</definedName>
    <definedName name="Miii">#REF!</definedName>
    <definedName name="mimim" hidden="1">{"CASH FLOW",#N/A,FALSE,"A"}</definedName>
    <definedName name="Mipc">#REF!:#REF!</definedName>
    <definedName name="Mips">#REF!</definedName>
    <definedName name="MISADN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lti">#REF!</definedName>
    <definedName name="mm">#REF!</definedName>
    <definedName name="MMB">#REF!</definedName>
    <definedName name="MMCHECK">#REF!</definedName>
    <definedName name="MMCOPY">#REF!</definedName>
    <definedName name="MMPASTE">#REF!</definedName>
    <definedName name="mnk">#REF!</definedName>
    <definedName name="mo">#REF!</definedName>
    <definedName name="mod">#REF!</definedName>
    <definedName name="modassar">#REF!</definedName>
    <definedName name="mode_list">#REF!</definedName>
    <definedName name="modified">#REF!</definedName>
    <definedName name="modular">#REF!</definedName>
    <definedName name="Module1.NOTES">#REF!</definedName>
    <definedName name="Module1.UNITOK">#N/A</definedName>
    <definedName name="modvat">#REF!</definedName>
    <definedName name="mohan">#REF!</definedName>
    <definedName name="Mone">#REF!</definedName>
    <definedName name="MonthYear">#REF!</definedName>
    <definedName name="MOSamount">#REF!</definedName>
    <definedName name="Motor_data">#REF!</definedName>
    <definedName name="mrat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C_SA_Transit" hidden="1">{#N/A,#N/A,TRUE,"Perm";#N/A,#N/A,TRUE,"Architecture"}</definedName>
    <definedName name="msjune1807">#REF!</definedName>
    <definedName name="mss">#REF!</definedName>
    <definedName name="Mthree">#REF!</definedName>
    <definedName name="Mtwo">#REF!</definedName>
    <definedName name="MUL">#REF!</definedName>
    <definedName name="MVAR50">#REF!</definedName>
    <definedName name="MVAR63">#REF!</definedName>
    <definedName name="MVAR80">#REF!</definedName>
    <definedName name="MVP_Total">#REF!</definedName>
    <definedName name="myfill" hidden="1">#REF!</definedName>
    <definedName name="MyList">#REF!</definedName>
    <definedName name="myrtet" hidden="1">{"PLANT BREAKUP",#N/A,FALSE,"E"}</definedName>
    <definedName name="N">#REF!</definedName>
    <definedName name="N___0">#REF!</definedName>
    <definedName name="N___13">#REF!</definedName>
    <definedName name="N__d_affaire">#REF!</definedName>
    <definedName name="N__préchan">#REF!</definedName>
    <definedName name="N_1">#REF!</definedName>
    <definedName name="N_PI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ME01">#REF!</definedName>
    <definedName name="NAME02">#REF!</definedName>
    <definedName name="NARI2">#REF!</definedName>
    <definedName name="nav">#REF!</definedName>
    <definedName name="nb">#REF!</definedName>
    <definedName name="nbb">#REF!</definedName>
    <definedName name="NBPDCL">#REF!</definedName>
    <definedName name="nc">#REF!</definedName>
    <definedName name="ncr_001" hidden="1">{#N/A,#N/A,FALSE,"CAPTION LIST (As-Built)";#N/A,#N/A,FALSE,"DOCUMENT LIST (As-Built)";#N/A,#N/A,FALSE,"PLANT SPECIFICATION";#N/A,#N/A,FALSE,"PRODUCT LIST"}</definedName>
    <definedName name="nd">#REF!</definedName>
    <definedName name="ne">#REF!</definedName>
    <definedName name="NEW">#REF!</definedName>
    <definedName name="NEWQTY">#REF!</definedName>
    <definedName name="Ng">{"'Sheet1'!$L$16"}</definedName>
    <definedName name="Ngan">{"Book1"}</definedName>
    <definedName name="ngcngcvj">#REF!</definedName>
    <definedName name="ngdbfdbd" hidden="1">#REF!</definedName>
    <definedName name="ngl">#REF!</definedName>
    <definedName name="Ni">#REF!</definedName>
    <definedName name="nild">#REF!</definedName>
    <definedName name="nl">#REF!</definedName>
    <definedName name="nm">#REF!</definedName>
    <definedName name="nmk">#REF!</definedName>
    <definedName name="NN">#REF!</definedName>
    <definedName name="ÑÑ" hidden="1">{"PAS",#N/A,TRUE,"FIBV";"ACT",#N/A,TRUE,"FIBV";"RdoH",#N/A,TRUE,"FIBV";"RdoD",#N/A,TRUE,"FIBV";"GRABAI",#N/A,TRUE,"GrafBAI";"GRABDI",#N/A,TRUE,"GrafBDI";"RDOMES",#N/A,TRUE,"CPR";"BALMES",#N/A,TRUE,"CPR";"CPRRES",#N/A,TRUE,"CPR";"CPRBAL",#N/A,TRUE,"CPR"}</definedName>
    <definedName name="NN___0">#REF!</definedName>
    <definedName name="NN___13">#REF!</definedName>
    <definedName name="NN_1">#REF!</definedName>
    <definedName name="nn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nnnnjjjjjjjjjjjjjjjjjjj" hidden="1">{"'Quotation'!$A$1:$G$1"}</definedName>
    <definedName name="nnnnnnnn">#REF!</definedName>
    <definedName name="no">#REF!</definedName>
    <definedName name="Nocon">#REF!</definedName>
    <definedName name="nom_CA">#REF!</definedName>
    <definedName name="Nom_de_l_affaire">#REF!</definedName>
    <definedName name="non">#REF!</definedName>
    <definedName name="NONSOR">#REF!</definedName>
    <definedName name="noofspan">#REF!</definedName>
    <definedName name="nospc">#REF!</definedName>
    <definedName name="nov03rate">#REF!</definedName>
    <definedName name="npcil">#REF!</definedName>
    <definedName name="nr">#REF!</definedName>
    <definedName name="Ns">#REF!</definedName>
    <definedName name="nsbc">#REF!</definedName>
    <definedName name="NSS">#REF!</definedName>
    <definedName name="Nst">#REF!</definedName>
    <definedName name="Nstr">#REF!</definedName>
    <definedName name="Nsu">#REF!</definedName>
    <definedName name="nt0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m_Pmt_Per_Year">#REF!</definedName>
    <definedName name="num2text">#REF!</definedName>
    <definedName name="Number_of_Payments">MATCH(0.01,End_Bal,-1)+1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O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CNames">#REF!</definedName>
    <definedName name="oct">#REF!</definedName>
    <definedName name="oct03rate">#REF!</definedName>
    <definedName name="OD">#REF!</definedName>
    <definedName name="OFFICE_LIGHTING">#REF!</definedName>
    <definedName name="OH" hidden="1">{"form-D1",#N/A,FALSE,"FORM-D1";"form-D1_amt",#N/A,FALSE,"FORM-D1"}</definedName>
    <definedName name="OH_PM">#REF!</definedName>
    <definedName name="ohe">#REF!</definedName>
    <definedName name="ohrate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ilpit">#REF!</definedName>
    <definedName name="oirr">#REF!</definedName>
    <definedName name="oldbuliding">#REF!</definedName>
    <definedName name="OLE_LINK1">#REF!</definedName>
    <definedName name="OLE_LINK1___0">#REF!</definedName>
    <definedName name="OOO" hidden="1">{"PAS",#N/A,TRUE,"FIBV";"ACT",#N/A,TRUE,"FIBV";"RdoH",#N/A,TRUE,"FIBV";"RdoD",#N/A,TRUE,"FIBV";"RDOMES",#N/A,TRUE,"CPR";"BALMES",#N/A,TRUE,"CPR";"CPRRES",#N/A,TRUE,"CPR";"CPRBAL",#N/A,TRUE,"CPR"}</definedName>
    <definedName name="ooooo">#REF!</definedName>
    <definedName name="op" hidden="1">{"PLANT BREAKUP",#N/A,FALSE,"E"}</definedName>
    <definedName name="opoi">#REF!</definedName>
    <definedName name="optio_2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>#REF!</definedName>
    <definedName name="orderbooked98">#REF!</definedName>
    <definedName name="ORDERSTATUS">#REF!</definedName>
    <definedName name="OrderTable" hidden="1">#REF!</definedName>
    <definedName name="ORDREVCOLL">#REF!</definedName>
    <definedName name="Orientation">#REF!</definedName>
    <definedName name="Origin">#REF!</definedName>
    <definedName name="OT">#REF!</definedName>
    <definedName name="other_boq">#REF!</definedName>
    <definedName name="OVERHEADS">#REF!</definedName>
    <definedName name="OVRFAC">#REF!</definedName>
    <definedName name="p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A">#REF!</definedName>
    <definedName name="P_Area">#REF!</definedName>
    <definedName name="P_B">#REF!</definedName>
    <definedName name="P_M">#REF!</definedName>
    <definedName name="P_or_L">#REF!</definedName>
    <definedName name="p_sizes">#REF!</definedName>
    <definedName name="p_w_sizes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___0">#REF!</definedName>
    <definedName name="pa___13">#REF!</definedName>
    <definedName name="PACKING">#REF!</definedName>
    <definedName name="pad_baywise">#REF!</definedName>
    <definedName name="Page">#REF!</definedName>
    <definedName name="Page1">#REF!</definedName>
    <definedName name="PAGE2">#REF!</definedName>
    <definedName name="PAGE5">#REF!</definedName>
    <definedName name="panch">#REF!</definedName>
    <definedName name="panch___0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_Numbers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1">#REF!</definedName>
    <definedName name="PATHJVPR111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2">#REF!</definedName>
    <definedName name="PATHLP3">#REF!</definedName>
    <definedName name="PATHPR2">#REF!</definedName>
    <definedName name="Pay_Back_Years">#REF!</definedName>
    <definedName name="Pay_Date">#REF!</definedName>
    <definedName name="Pay_Num">#REF!</definedName>
    <definedName name="Payment_Date">DATE(YEAR(Loan_Start),MONTH(Loan_Start)+Payment_Number,DAY(Loan_Start))</definedName>
    <definedName name="pays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C">#REF!</definedName>
    <definedName name="PCC_Offset">#REF!</definedName>
    <definedName name="PCD">#REF!</definedName>
    <definedName name="Pclass">#REF!</definedName>
    <definedName name="Pcost">#REF!</definedName>
    <definedName name="pcsen">#REF!</definedName>
    <definedName name="Pd">#REF!</definedName>
    <definedName name="PDO" hidden="1">{"'Summary'!$A$1:$J$46"}</definedName>
    <definedName name="PDR">#REF!</definedName>
    <definedName name="percent">#REF!</definedName>
    <definedName name="Percent_Text">#REF!</definedName>
    <definedName name="Percent_Value">#REF!</definedName>
    <definedName name="peri">#REF!</definedName>
    <definedName name="peri1">#REF!</definedName>
    <definedName name="PERSONAL_TRANSPORT">#REF!</definedName>
    <definedName name="PEstPL">#REF!</definedName>
    <definedName name="PF">#REF!</definedName>
    <definedName name="pfc">#REF!</definedName>
    <definedName name="pfcsen">#REF!</definedName>
    <definedName name="PGValue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accp">#REF!</definedName>
    <definedName name="picture_1">"Picture 1"</definedName>
    <definedName name="PID_F">#REF!</definedName>
    <definedName name="pIecp">#REF!</definedName>
    <definedName name="Pii">#REF!</definedName>
    <definedName name="Piii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ch">#REF!</definedName>
    <definedName name="PIP">#REF!</definedName>
    <definedName name="pippo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lkfd">#REF!</definedName>
    <definedName name="pl" hidden="1">{"PLANT BREAKUP",#N/A,FALSE,"E"}</definedName>
    <definedName name="place">#REF!</definedName>
    <definedName name="PLANT">#REF!</definedName>
    <definedName name="Plant_2_Sq_Ft">#REF!</definedName>
    <definedName name="Plant2_Lot">#REF!</definedName>
    <definedName name="PLASTER">#REF!</definedName>
    <definedName name="PLCC">#REF!</definedName>
    <definedName name="plf">#REF!</definedName>
    <definedName name="plfsen">#REF!</definedName>
    <definedName name="PLIGNE">#REF!</definedName>
    <definedName name="PM">#REF!</definedName>
    <definedName name="pm_size">#REF!</definedName>
    <definedName name="pm_w_size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n">#REF!</definedName>
    <definedName name="PNL">#REF!</definedName>
    <definedName name="PO" hidden="1">{"PLANT BREAKUP",#N/A,FALSE,"E"}</definedName>
    <definedName name="PointDinsertion">#REF!</definedName>
    <definedName name="poipo" hidden="1">{"CASH FLOW",#N/A,FALSE,"A"}</definedName>
    <definedName name="poiuytrezaqsdf">#REF!</definedName>
    <definedName name="PONDA">#REF!</definedName>
    <definedName name="pooiwut" hidden="1">{"PLANNING",#N/A,FALSE,"A"}</definedName>
    <definedName name="POOJA">#REF!</definedName>
    <definedName name="pop" hidden="1">{"PLANNING",#N/A,FALSE,"A"}</definedName>
    <definedName name="popo" hidden="1">#REF!</definedName>
    <definedName name="POPUH1IPO" hidden="1">{"PLANNING",#N/A,FALSE,"A"}</definedName>
    <definedName name="popuoy" hidden="1">{"FTS",#N/A,FALSE,"E"}</definedName>
    <definedName name="POU">#REF!</definedName>
    <definedName name="poundcost">#REF!</definedName>
    <definedName name="poundinput">#REF!</definedName>
    <definedName name="POUNDS">#REF!</definedName>
    <definedName name="POURCENTAGES">#REF!</definedName>
    <definedName name="pout">#REF!</definedName>
    <definedName name="Powercables">#REF!</definedName>
    <definedName name="pp">#REF!</definedName>
    <definedName name="pp_1">#REF!</definedName>
    <definedName name="ppp" hidden="1">{"'TP-SUMMARY'!$I$11:$K$11"}</definedName>
    <definedName name="ppp_1" hidden="1">{"'TP-SUMMARY'!$I$11:$K$11"}</definedName>
    <definedName name="pps">#REF!</definedName>
    <definedName name="PQSRes">#REF!</definedName>
    <definedName name="PR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tap" hidden="1">{"'Sheet1'!$A$4386:$N$4591"}</definedName>
    <definedName name="pratap_1" hidden="1">{"'Sheet1'!$A$4386:$N$4591"}</definedName>
    <definedName name="prc">#REF!</definedName>
    <definedName name="Prep_Time_ratio">0.2</definedName>
    <definedName name="PREQTY">#REF!</definedName>
    <definedName name="Price">#REF!</definedName>
    <definedName name="PriceCode">#REF!</definedName>
    <definedName name="priced_end">#REF!</definedName>
    <definedName name="Princ">#REF!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OFFSET(Full_Print,0,0,Last_Row)</definedName>
    <definedName name="Print_Area1">#REF!</definedName>
    <definedName name="PRINT_AREA2">#REF!</definedName>
    <definedName name="print_ares">#REF!</definedName>
    <definedName name="Print_Range">#REF!</definedName>
    <definedName name="print_title">#REF!</definedName>
    <definedName name="_xlnm.Print_Titles">#N/A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>#REF!</definedName>
    <definedName name="printn">#REF!</definedName>
    <definedName name="PRN">#REF!</definedName>
    <definedName name="ProdForm" hidden="1">#REF!</definedName>
    <definedName name="Product" hidden="1">#REF!</definedName>
    <definedName name="Professional___Audit_Fees">#REF!</definedName>
    <definedName name="profit">#REF!</definedName>
    <definedName name="proj">#REF!</definedName>
    <definedName name="project">#REF!</definedName>
    <definedName name="project_name">#REF!</definedName>
    <definedName name="prsrcoeffts">#REF!</definedName>
    <definedName name="PrtA">#REF!</definedName>
    <definedName name="PS">#REF!</definedName>
    <definedName name="PS___0">#REF!</definedName>
    <definedName name="PS___13">#REF!</definedName>
    <definedName name="psi">#REF!</definedName>
    <definedName name="psplit">#REF!</definedName>
    <definedName name="pt">#REF!</definedName>
    <definedName name="pti">#REF!</definedName>
    <definedName name="Pu">#REF!</definedName>
    <definedName name="Puz">#REF!</definedName>
    <definedName name="PV">#REF!</definedName>
    <definedName name="PW">#REF!</definedName>
    <definedName name="Pwl">#REF!</definedName>
    <definedName name="PWr">#REF!</definedName>
    <definedName name="Pxxi">#REF!</definedName>
    <definedName name="Pyyi">#REF!</definedName>
    <definedName name="Pyyiii">#REF!</definedName>
    <definedName name="q">#REF!</definedName>
    <definedName name="q__T_Sq.m">#REF!</definedName>
    <definedName name="q_1">#REF!</definedName>
    <definedName name="q23wed1qw3ed" hidden="1">{#N/A,#N/A,FALSE,"Main"}</definedName>
    <definedName name="Qc">#REF!</definedName>
    <definedName name="Qc___0">#REF!</definedName>
    <definedName name="Qc___13">#REF!</definedName>
    <definedName name="Qf">#REF!</definedName>
    <definedName name="Qf___0">#REF!</definedName>
    <definedName name="Qf___13">#REF!</definedName>
    <definedName name="qfc">#REF!</definedName>
    <definedName name="Qi">#REF!</definedName>
    <definedName name="Qi___0">#REF!</definedName>
    <definedName name="Qi___13">#REF!</definedName>
    <definedName name="Qisolatori">#REF!</definedName>
    <definedName name="Ql">#REF!</definedName>
    <definedName name="Ql___0">#REF!</definedName>
    <definedName name="Ql___13">#REF!</definedName>
    <definedName name="QQ" hidden="1">{"ACT",#N/A,TRUE,"FIBV";"PAS",#N/A,TRUE,"FIBV";"RdoH",#N/A,TRUE,"FIBV";"RdoD",#N/A,TRUE,"FIBV"}</definedName>
    <definedName name="qqfwegfg">#REF!</definedName>
    <definedName name="qqq" hidden="1">{#N/A,#N/A,TRUE,"Projektierung";#N/A,#N/A,TRUE,"Grundgerät";#N/A,#N/A,TRUE,"Baugruppen"}</definedName>
    <definedName name="qqqq">#REF!</definedName>
    <definedName name="Qs">#REF!</definedName>
    <definedName name="Qspan">#REF!</definedName>
    <definedName name="Qsres">#REF!</definedName>
    <definedName name="Qtorri">#REF!</definedName>
    <definedName name="Qty">#REF!</definedName>
    <definedName name="Qty_as_on_apr">#REF!</definedName>
    <definedName name="QTY_AS_ON_APR_1">#REF!</definedName>
    <definedName name="Quantity">#REF!</definedName>
    <definedName name="qua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WEQ">#REF!</definedName>
    <definedName name="qwrqrqwrq">#REF!</definedName>
    <definedName name="R_">#REF!</definedName>
    <definedName name="R___variation_factor_in_capacity_per_degree_Celcius">#REF!</definedName>
    <definedName name="ra">#REF!</definedName>
    <definedName name="raaa" hidden="1">{"'Sheet1'!$A$4386:$N$4591"}</definedName>
    <definedName name="raaa_1" hidden="1">{"'Sheet1'!$A$4386:$N$4591"}</definedName>
    <definedName name="Rac">#REF!</definedName>
    <definedName name="rad">#REF!</definedName>
    <definedName name="RAIL">#REF!</definedName>
    <definedName name="Raj" hidden="1">{"'Sheet1'!$A$4386:$N$4591"}</definedName>
    <definedName name="Raj_1" hidden="1">{"'Sheet1'!$A$4386:$N$4591"}</definedName>
    <definedName name="RAJEEV_ERECTORS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i">#REF!</definedName>
    <definedName name="Rate">#REF!</definedName>
    <definedName name="rates">#REF!</definedName>
    <definedName name="ratio">#REF!</definedName>
    <definedName name="ratio1">#REF!</definedName>
    <definedName name="RAWRAR">#REF!</definedName>
    <definedName name="rb">#REF!</definedName>
    <definedName name="Rb_3">#REF!</definedName>
    <definedName name="Rcable1">#REF!</definedName>
    <definedName name="Rcable2">#REF!</definedName>
    <definedName name="rcable5">#REF!</definedName>
    <definedName name="rcable7">#REF!</definedName>
    <definedName name="RCArea" hidden="1">#REF!</definedName>
    <definedName name="RCC">#REF!</definedName>
    <definedName name="RCC_Offset">#REF!</definedName>
    <definedName name="Rcr">#REF!</definedName>
    <definedName name="RCT">#REF!</definedName>
    <definedName name="Rdc">#REF!</definedName>
    <definedName name="Rdc_1">#REF!</definedName>
    <definedName name="Re">#REF!</definedName>
    <definedName name="Re___0">#REF!</definedName>
    <definedName name="Re___13">#REF!</definedName>
    <definedName name="reactions">#REF!</definedName>
    <definedName name="REACTOR">#REF!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">#REF!</definedName>
    <definedName name="RECON" hidden="1">{"form-D1",#N/A,FALSE,"FORM-D1";"form-D1_amt",#N/A,FALSE,"FORM-D1"}</definedName>
    <definedName name="_xlnm.Recorder">#REF!</definedName>
    <definedName name="rect_4_415">#REF!</definedName>
    <definedName name="REE">#REF!</definedName>
    <definedName name="reeee">#REF!</definedName>
    <definedName name="Ref">#REF!</definedName>
    <definedName name="Region">#REF!</definedName>
    <definedName name="regionnames">#REF!</definedName>
    <definedName name="regions">#REF!</definedName>
    <definedName name="reinsulation">#REF!</definedName>
    <definedName name="rel">#REF!</definedName>
    <definedName name="Rel.per">#REF!</definedName>
    <definedName name="Rel.perm">#REF!</definedName>
    <definedName name="relays">#REF!</definedName>
    <definedName name="Reliance_DG_Set_Tender___Bangalore">#REF!</definedName>
    <definedName name="RENT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erves">#REF!</definedName>
    <definedName name="ResistorTabl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">#REF!</definedName>
    <definedName name="rho">#REF!</definedName>
    <definedName name="rig">#REF!</definedName>
    <definedName name="riser" hidden="1">#REF!</definedName>
    <definedName name="riskMitigation">#REF!</definedName>
    <definedName name="RK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LLFCCASHFLOW">#REF!</definedName>
    <definedName name="ROLLFCWKGS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sid">#REF!</definedName>
    <definedName name="Row">#REF!</definedName>
    <definedName name="ROW_STRESS">#REF!</definedName>
    <definedName name="row1a">#REF!</definedName>
    <definedName name="Rowc">#REF!</definedName>
    <definedName name="rr">#REF!</definedName>
    <definedName name="rrammv">#REF!</definedName>
    <definedName name="Rrelay">#REF!</definedName>
    <definedName name="rrg">#REF!</definedName>
    <definedName name="rrm">#REF!</definedName>
    <definedName name="RRR" hidden="1">#REF!</definedName>
    <definedName name="RRR________" hidden="1">#REF!</definedName>
    <definedName name="rrrrrrr" hidden="1">{"'Sheet1'!$A$4386:$N$4591"}</definedName>
    <definedName name="rrrrrrrrrr" hidden="1">{"COST",#N/A,FALSE,"SYNTHESE";"MARGIN",#N/A,FALSE,"SYNTHESE";"LOT_COM",#N/A,FALSE,"SYNTHESE"}</definedName>
    <definedName name="rrrrrrrrrrrrr" hidden="1">{"PLANNING",#N/A,FALSE,"A"}</definedName>
    <definedName name="rrrrrrrrrrrrrr" hidden="1">{#N/A,#N/A,FALSE,"CAPTION LIST (As-Built)";#N/A,#N/A,FALSE,"DOCUMENT LIST (As-Built)";#N/A,#N/A,FALSE,"PLANT SPECIFICATION";#N/A,#N/A,FALSE,"PRODUCT LIST"}</definedName>
    <definedName name="rrrrrrrrrrrrrrr" hidden="1">{"PLANNING",#N/A,FALSE,"A"}</definedName>
    <definedName name="rrrrrrrrrrrrrrrr" hidden="1">{"PLANNING",#N/A,FALSE,"A"}</definedName>
    <definedName name="rrrrrrrrrrrrrrrrr" hidden="1">{"'Sheet1'!$A$4386:$N$4591"}</definedName>
    <definedName name="rrrrrrrrrrrrrrrrrr" hidden="1">{#N/A,#N/A,FALSE,"MODULE3"}</definedName>
    <definedName name="rrrrrrrrrrrrrrrrrrr" hidden="1">{#N/A,#N/A,TRUE,"Perm";#N/A,#N/A,TRUE,"Architecture"}</definedName>
    <definedName name="rrrrrrrrrrrrrrrrrrrr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rrrrrrrrrrrrrrrrrrrr" hidden="1">#REF!</definedName>
    <definedName name="rrrrrrrrrrrrrrrrrrrrrr" hidden="1">{#N/A,#N/A,FALSE,"Motor List"}</definedName>
    <definedName name="rrrrrrrrrrrrrrrrrrrrrrr" hidden="1">{"PLANT BREAKUP",#N/A,FALSE,"E"}</definedName>
    <definedName name="rrrrrrrrrrrrrrrrrrrrrr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rrrrrrrrrrrrrrrrrrrrrrrrr" hidden="1">{"'Summary'!$A$1:$J$46"}</definedName>
    <definedName name="rrrrrrrrrrrrrrrrrrrrrrrrrr" hidden="1">{"PLANT BREAKUP",#N/A,FALSE,"E"}</definedName>
    <definedName name="rrrrrrrrrrrrrrrrrrrrrrrrrrr" hidden="1">#REF!</definedName>
    <definedName name="rrrrrrrrrrrrrrrrrrrrrrrrrrrrr" hidden="1">{#N/A,#N/A,FALSE,"CAPTION LIST (As-Built)";#N/A,#N/A,FALSE,"DOCUMENT LIST (As-Built)";#N/A,#N/A,FALSE,"PLANT SPECIFICATION";#N/A,#N/A,FALSE,"PRODUCT LIST"}</definedName>
    <definedName name="rrrrrrrrrrrrrrrrrrrrrrrrrrrrrrrrr" hidden="1">{#N/A,#N/A,FALSE,"MODULE3"}</definedName>
    <definedName name="rrrrrrrrrrrrrrrrrrrrrrrrrrrrrrrrrrrrrr" hidden="1">{"PLANT BREAKUP",#N/A,FALSE,"E"}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o">#REF!</definedName>
    <definedName name="RSP">#REF!</definedName>
    <definedName name="Rt">#REF!</definedName>
    <definedName name="rt6gf">#REF!</definedName>
    <definedName name="rtfr">#REF!</definedName>
    <definedName name="rtjetr">#REF!</definedName>
    <definedName name="rttrt" hidden="1">{"form-D1",#N/A,FALSE,"FORM-D1";"form-D1_amt",#N/A,FALSE,"FORM-D1"}</definedName>
    <definedName name="rty" hidden="1">{#N/A,#N/A,TRUE,"Projektierung";#N/A,#N/A,TRUE,"Grundgerät";#N/A,#N/A,TRUE,"Baugruppen"}</definedName>
    <definedName name="rty566768u">#REF!</definedName>
    <definedName name="RTYRTY">#REF!</definedName>
    <definedName name="RUPEES">#REF!</definedName>
    <definedName name="ruyu">#REF!</definedName>
    <definedName name="rwerewre" hidden="1">#REF!</definedName>
    <definedName name="RWPH">#REF!</definedName>
    <definedName name="rwrqwr">#REF!</definedName>
    <definedName name="S">#REF!</definedName>
    <definedName name="s.f">#REF!</definedName>
    <definedName name="s_1">#REF!</definedName>
    <definedName name="S_41" hidden="1">{0,0,0,0;0,#N/A,FALSE,0}</definedName>
    <definedName name="s_w">#REF!</definedName>
    <definedName name="S0">#REF!</definedName>
    <definedName name="s0.2">#REF!</definedName>
    <definedName name="s0ne">#REF!</definedName>
    <definedName name="Sa">#REF!</definedName>
    <definedName name="saa" hidden="1">{"form-D1",#N/A,FALSE,"FORM-D1";"form-D1_amt",#N/A,FALSE,"FORM-D1"}</definedName>
    <definedName name="saaa" hidden="1">{"CASH FLOW",#N/A,FALSE,"A"}</definedName>
    <definedName name="saaas" hidden="1">{"PLANNING",#N/A,FALSE,"A"}</definedName>
    <definedName name="sad">#REF!</definedName>
    <definedName name="sadafas">#REF!</definedName>
    <definedName name="sadasjkhkasjhd">#REF!</definedName>
    <definedName name="SAFE">#REF!</definedName>
    <definedName name="SAFFSA">#REF!</definedName>
    <definedName name="Saharanpur">#REF!</definedName>
    <definedName name="sak">#REF!</definedName>
    <definedName name="sal" hidden="1">{"CASH FLOW",#N/A,FALSE,"A"}</definedName>
    <definedName name="SALARIES___WAGES">#REF!</definedName>
    <definedName name="SALEFACT">#REF!</definedName>
    <definedName name="sales">#REF!</definedName>
    <definedName name="Sales_Per_Manday">#REF!</definedName>
    <definedName name="sam" hidden="1">{"PLANT BREAKUP",#N/A,FALSE,"E"}</definedName>
    <definedName name="san">#REF!</definedName>
    <definedName name="SAND" hidden="1">#REF!</definedName>
    <definedName name="sanjuuu">#REF!</definedName>
    <definedName name="SAPBEXhrIndnt" hidden="1">"Wide"</definedName>
    <definedName name="SAPsysID" hidden="1">"708C5W7SBKP804JT78WJ0JNKI"</definedName>
    <definedName name="SAPwbID" hidden="1">"ARS"</definedName>
    <definedName name="sarita">#REF!</definedName>
    <definedName name="sasi">#REF!</definedName>
    <definedName name="sastry">#REF!</definedName>
    <definedName name="SATZ">#REF!</definedName>
    <definedName name="SAUMAJIT">#REF!</definedName>
    <definedName name="sb">#REF!</definedName>
    <definedName name="sbc">#REF!</definedName>
    <definedName name="sbt">#REF!</definedName>
    <definedName name="SBU1NAMES">#REF!</definedName>
    <definedName name="SBU2NAMES">#REF!</definedName>
    <definedName name="sc">#REF!</definedName>
    <definedName name="Scale">#REF!</definedName>
    <definedName name="scbc">#REF!</definedName>
    <definedName name="SCC">#REF!</definedName>
    <definedName name="SCF">#REF!</definedName>
    <definedName name="sch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edules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hidden="1">{"form-D1",#N/A,FALSE,"FORM-D1";"form-D1_amt",#N/A,FALSE,"FORM-D1"}</definedName>
    <definedName name="sdasdasdas">#REF!</definedName>
    <definedName name="SDASRAR">#REF!</definedName>
    <definedName name="Sdate">#REF!</definedName>
    <definedName name="sdf">#REF!</definedName>
    <definedName name="sdfd" hidden="1">{#N/A,#N/A,TRUE,"Projektierung";#N/A,#N/A,TRUE,"Grundgerät";#N/A,#N/A,TRUE,"Baugruppen"}</definedName>
    <definedName name="sdfesghfgt" hidden="1">{"'Summary'!$A$1:$J$46"}</definedName>
    <definedName name="sdfgdsafg">#REF!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sd">#REF!</definedName>
    <definedName name="sdfsdf">#REF!</definedName>
    <definedName name="sdfsdfdsfsd">#REF!</definedName>
    <definedName name="SDFSDFSD">#REF!</definedName>
    <definedName name="sdfsdfsdf">#REF!</definedName>
    <definedName name="sdfsdfsdfsd">#REF!</definedName>
    <definedName name="sdfsegfhrth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wdd">#REF!</definedName>
    <definedName name="sdgegr">#REF!</definedName>
    <definedName name="sdgfdsgesgs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dgsrgrg" hidden="1">{"'Summary'!$A$1:$J$46"}</definedName>
    <definedName name="sds">#REF!</definedName>
    <definedName name="SDSD">#REF!</definedName>
    <definedName name="SDSDFSDFSD">#REF!</definedName>
    <definedName name="SDSFSDFSD">#REF!</definedName>
    <definedName name="se">#REF!</definedName>
    <definedName name="sect">#REF!</definedName>
    <definedName name="sect_table">#REF!:#REF!</definedName>
    <definedName name="SECTAB">#REF!:#REF!</definedName>
    <definedName name="sections">#REF!</definedName>
    <definedName name="see">#REF!</definedName>
    <definedName name="sek">#REF!</definedName>
    <definedName name="Select">#REF!</definedName>
    <definedName name="SelectD1OrC1">#REF!</definedName>
    <definedName name="SelectLessOrExcess">#REF!</definedName>
    <definedName name="sencount">1</definedName>
    <definedName name="Sep.dic" hidden="1">{"INVERSIONES",#N/A,FALSE,"Impresion"}</definedName>
    <definedName name="sep03rate">#REF!</definedName>
    <definedName name="SEPT">#REF!</definedName>
    <definedName name="Service">#REF!</definedName>
    <definedName name="ServiceTax">#REF!</definedName>
    <definedName name="SERVmaterial">#N/A</definedName>
    <definedName name="SERWQERQWER">#REF!</definedName>
    <definedName name="SESHA_SAI_CONSTRUCTION">#REF!</definedName>
    <definedName name="SETT1">#REF!</definedName>
    <definedName name="SETT2">#REF!</definedName>
    <definedName name="SETTT1">#REF!</definedName>
    <definedName name="setval1">#REF!</definedName>
    <definedName name="setvalue">#REF!</definedName>
    <definedName name="setvalue1">#REF!</definedName>
    <definedName name="SF">#REF!</definedName>
    <definedName name="sfdf">#REF!</definedName>
    <definedName name="sfdfwfwwgwg">#REF!</definedName>
    <definedName name="sfdsefsfdhfhr" hidden="1">{"'Summary'!$A$1:$J$46"}</definedName>
    <definedName name="sfegsgdgsdg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fegt">#REF!</definedName>
    <definedName name="SFR">#REF!</definedName>
    <definedName name="sfsa">#REF!</definedName>
    <definedName name="Sg">#REF!</definedName>
    <definedName name="sgdsgegsdgs" hidden="1">{"CASH FLOW",#N/A,FALSE,"A"}</definedName>
    <definedName name="sgesgsefhrh" hidden="1">{"'Summary'!$A$1:$J$46"}</definedName>
    <definedName name="sgsegshfgr" hidden="1">{"'Summary'!$A$1:$J$46"}</definedName>
    <definedName name="sgsfsdfegrrg" hidden="1">{"'Summary'!$A$1:$J$46"}</definedName>
    <definedName name="sgsgdgsgsdg" hidden="1">{"'Sheet1'!$A$4386:$N$4591"}</definedName>
    <definedName name="SH">#REF!</definedName>
    <definedName name="ShadeGlass">#REF!</definedName>
    <definedName name="ShadeGlassMenu">#REF!</definedName>
    <definedName name="shape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IELDING_PROTECTION_OF_400KV_SWITCHYARD_AT_BOISAR">#REF!</definedName>
    <definedName name="shis">#REF!</definedName>
    <definedName name="Show_Prices_?">#REF!</definedName>
    <definedName name="Shri1">#REF!</definedName>
    <definedName name="SHS">#REF!</definedName>
    <definedName name="si">#REF!</definedName>
    <definedName name="side1">#REF!</definedName>
    <definedName name="side2">#REF!</definedName>
    <definedName name="sif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S">#REF!</definedName>
    <definedName name="SL">#REF!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LSAMT">#REF!</definedName>
    <definedName name="SLSRT">#REF!</definedName>
    <definedName name="sm">#REF!</definedName>
    <definedName name="smac">#REF!</definedName>
    <definedName name="smsb">#REF!</definedName>
    <definedName name="SN" hidden="1">{#N/A,#N/A,FALSE,"MODULE3"}</definedName>
    <definedName name="SOE">#REF!</definedName>
    <definedName name="SolarFactors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e">#REF!</definedName>
    <definedName name="SOR">#REF!</definedName>
    <definedName name="source">#REF!</definedName>
    <definedName name="SP">#REF!</definedName>
    <definedName name="SPA">#REF!</definedName>
    <definedName name="Spacer">#REF!</definedName>
    <definedName name="SpanL">#REF!</definedName>
    <definedName name="Spanner_Auto_File">"C:\Documents and Settings\pcsai\My Documents\DRAIN_De.x2a"</definedName>
    <definedName name="spantype">#REF!</definedName>
    <definedName name="Spare">#REF!</definedName>
    <definedName name="spare_end">#REF!</definedName>
    <definedName name="spare_end1">#REF!</definedName>
    <definedName name="Spares_Discount">#REF!</definedName>
    <definedName name="spares_end">#REF!</definedName>
    <definedName name="Spares_Reqd_?">#REF!</definedName>
    <definedName name="spcon">#REF!</definedName>
    <definedName name="SpecialPrice" hidden="1">#REF!</definedName>
    <definedName name="SPFAC">#REF!</definedName>
    <definedName name="spfactor">#REF!</definedName>
    <definedName name="SPFIN">#REF!</definedName>
    <definedName name="spk">#REF!</definedName>
    <definedName name="Spl">#REF!</definedName>
    <definedName name="spp">#REF!</definedName>
    <definedName name="spread">#REF!</definedName>
    <definedName name="SPSUM">#REF!</definedName>
    <definedName name="SPTNP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a">#REF!</definedName>
    <definedName name="ssb">#REF!</definedName>
    <definedName name="SSD">#REF!</definedName>
    <definedName name="ssf">#REF!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l">#REF!</definedName>
    <definedName name="sss">#REF!</definedName>
    <definedName name="ssss">#REF!</definedName>
    <definedName name="sssss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sssssss">#REF!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sssssssssssssssssssssssss" hidden="1">{"'Sheet1'!$A$4386:$N$4591"}</definedName>
    <definedName name="sst">#REF!</definedName>
    <definedName name="SSV">#REF!</definedName>
    <definedName name="st">#REF!</definedName>
    <definedName name="st_list">#REF!</definedName>
    <definedName name="sta229.2">#REF!</definedName>
    <definedName name="Staircase">#REF!</definedName>
    <definedName name="Staircase2">#REF!</definedName>
    <definedName name="StampPag1">#REF!</definedName>
    <definedName name="StampPag2">#REF!</definedName>
    <definedName name="Standard_Contingency">0.1</definedName>
    <definedName name="Standard_Procurement_Contingency">0.03</definedName>
    <definedName name="statement">#REF!</definedName>
    <definedName name="statements">#REF!</definedName>
    <definedName name="stay">#REF!</definedName>
    <definedName name="stay_">#REF!</definedName>
    <definedName name="STAYS">#REF!</definedName>
    <definedName name="STD">#REF!</definedName>
    <definedName name="steam_props">#REF!</definedName>
    <definedName name="steelgrades">#REF!</definedName>
    <definedName name="stfr">#REF!</definedName>
    <definedName name="STR">#REF!</definedName>
    <definedName name="stress">#REF!</definedName>
    <definedName name="stretch">#REF!</definedName>
    <definedName name="StrID">#REF!</definedName>
    <definedName name="structure">#REF!</definedName>
    <definedName name="Su" hidden="1">{#N/A,#N/A,TRUE,"Vergabe-Regeln";#N/A,#N/A,TRUE,"Baugruppen";#N/A,#N/A,TRUE,"Geräte";#N/A,#N/A,TRUE,"PC-Software";#N/A,#N/A,TRUE,"Software";#N/A,#N/A,TRUE,"SW-Reg";#N/A,#N/A,TRUE,"Dokumentation"}</definedName>
    <definedName name="sub">#REF!</definedName>
    <definedName name="Sub_amount">#REF!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M">#REF!</definedName>
    <definedName name="sum_of_same_item_qty">SUMIF(#REF!,#REF!,#REF!)</definedName>
    <definedName name="sumi">#REF!</definedName>
    <definedName name="SUMM">#REF!</definedName>
    <definedName name="SUMMARY">#REF!</definedName>
    <definedName name="SUMMARY_OTHER_EXPS">#REF!</definedName>
    <definedName name="Summary1">#REF!</definedName>
    <definedName name="SummaryA">#REF!</definedName>
    <definedName name="SummaryB">#REF!</definedName>
    <definedName name="SUMMARYR">#REF!</definedName>
    <definedName name="sun">#REF!</definedName>
    <definedName name="sunjay">#REF!</definedName>
    <definedName name="supply">#REF!</definedName>
    <definedName name="Supplykalpaka160714">#REF!</definedName>
    <definedName name="supporttype">#REF!</definedName>
    <definedName name="surcharge">#REF!</definedName>
    <definedName name="Sv">#REF!</definedName>
    <definedName name="sw">#REF!</definedName>
    <definedName name="SWARE">#REF!</definedName>
    <definedName name="SWD2CON">#REF!</definedName>
    <definedName name="SWH">#REF!</definedName>
    <definedName name="Switch" comment="Switch for iterative calculations">#REF!</definedName>
    <definedName name="swt">#REF!</definedName>
    <definedName name="syscontr1">#REF!</definedName>
    <definedName name="t">#REF!</definedName>
    <definedName name="t___0">#REF!</definedName>
    <definedName name="t___13">#REF!</definedName>
    <definedName name="t_1">#REF!</definedName>
    <definedName name="T_Face">#REF!</definedName>
    <definedName name="T0">#REF!</definedName>
    <definedName name="t1_">#REF!</definedName>
    <definedName name="Ta">#REF!</definedName>
    <definedName name="taa">#REF!</definedName>
    <definedName name="tab">#REF!</definedName>
    <definedName name="tabl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Range">#REF!</definedName>
    <definedName name="tables">#REF!</definedName>
    <definedName name="Taf">#REF!</definedName>
    <definedName name="TAG_F">#REF!</definedName>
    <definedName name="tala" hidden="1">#REF!</definedName>
    <definedName name="TapTable">#REF!</definedName>
    <definedName name="tariff">#REF!</definedName>
    <definedName name="tariffsen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lETP">#REF!</definedName>
    <definedName name="TblModel">#REF!</definedName>
    <definedName name="TblPrice">#REF!</definedName>
    <definedName name="tbs">#REF!</definedName>
    <definedName name="tc">#REF!</definedName>
    <definedName name="tcap">#REF!</definedName>
    <definedName name="tcol">#REF!</definedName>
    <definedName name="TcRTD">#REF!</definedName>
    <definedName name="TD">#REF!</definedName>
    <definedName name="tdytryu">#REF!</definedName>
    <definedName name="te">#REF!</definedName>
    <definedName name="teast">#REF!</definedName>
    <definedName name="Technology">#REF!</definedName>
    <definedName name="tedge">#REF!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STRESS">#REF!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coeff">#REF!</definedName>
    <definedName name="TemplatePrintArea">#REF!</definedName>
    <definedName name="Temprange">#REF!</definedName>
    <definedName name="TEN">#REF!</definedName>
    <definedName name="TENSION">#REF!</definedName>
    <definedName name="tenst">#REF!</definedName>
    <definedName name="ter_vapi">#REF!</definedName>
    <definedName name="TerCAT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ep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Etouch">#REF!</definedName>
    <definedName name="TF">#REF!</definedName>
    <definedName name="Tfc">#REF!</definedName>
    <definedName name="Tfd">#REF!</definedName>
    <definedName name="th">#REF!</definedName>
    <definedName name="THH">#REF!</definedName>
    <definedName name="thickdes">#REF!</definedName>
    <definedName name="Thickness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rhrh" hidden="1">{#N/A,#N/A,FALSE,"MODULE3"}</definedName>
    <definedName name="ti">#REF!</definedName>
    <definedName name="tii">#REF!</definedName>
    <definedName name="timedmd">#REF!</definedName>
    <definedName name="Tin">#REF!</definedName>
    <definedName name="title">#REF!</definedName>
    <definedName name="Title1">#REF!</definedName>
    <definedName name="Title2">#REF!</definedName>
    <definedName name="Tittle1">#REF!</definedName>
    <definedName name="tj">#REF!</definedName>
    <definedName name="Tk">#REF!</definedName>
    <definedName name="Tkl">#REF!</definedName>
    <definedName name="Tm">#REF!</definedName>
    <definedName name="TMA">#REF!</definedName>
    <definedName name="TMD">#REF!</definedName>
    <definedName name="TME">#REF!</definedName>
    <definedName name="Tmin">#REF!</definedName>
    <definedName name="TMO">#REF!</definedName>
    <definedName name="TMOS">#REF!</definedName>
    <definedName name="TMT">#REF!</definedName>
    <definedName name="tn">#REF!</definedName>
    <definedName name="tol">#REF!</definedName>
    <definedName name="TOP_SHT">#REF!</definedName>
    <definedName name="topl">#REF!</definedName>
    <definedName name="TOPLISF">#REF!</definedName>
    <definedName name="topn">#REF!</definedName>
    <definedName name="Tosc">#REF!</definedName>
    <definedName name="TOT_ST">#REF!</definedName>
    <definedName name="Tot_sub_amount">#REF!</definedName>
    <definedName name="total">#REF!</definedName>
    <definedName name="Total_Cost___US___FOB_Irvine__USA">#REF!</definedName>
    <definedName name="total_days">DATEDIF(#REF!+1,#REF!,"d")</definedName>
    <definedName name="Total_EB">#REF!</definedName>
    <definedName name="Total_Interest">#REF!</definedName>
    <definedName name="Total_Mandays">#REF!</definedName>
    <definedName name="Total_Pay">#REF!</definedName>
    <definedName name="Total_Payment">Scheduled_Payment+Extra_Payment</definedName>
    <definedName name="totalmc">#REF!</definedName>
    <definedName name="totalmc1">#REF!</definedName>
    <definedName name="TOTCDWSSM">#REF!</definedName>
    <definedName name="TOTCDWSSP">#REF!</definedName>
    <definedName name="TOTQTY">#REF!</definedName>
    <definedName name="tr">#N/A</definedName>
    <definedName name="tr0">#REF!</definedName>
    <definedName name="Training_Admn_ratio">0.5</definedName>
    <definedName name="TRANS">#REF!</definedName>
    <definedName name="tratio">#REF!</definedName>
    <definedName name="tredf.">#REF!</definedName>
    <definedName name="Tres">#REF!</definedName>
    <definedName name="Tres_1">#REF!</definedName>
    <definedName name="tres4">#REF!</definedName>
    <definedName name="trial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>#N/A</definedName>
    <definedName name="tS">#REF!</definedName>
    <definedName name="tS___0">#REF!</definedName>
    <definedName name="tS___13">#REF!</definedName>
    <definedName name="tsc">#REF!</definedName>
    <definedName name="tscc">#REF!</definedName>
    <definedName name="tt">#REF!</definedName>
    <definedName name="ttrrr">#REF!</definedName>
    <definedName name="ttt">#REF!</definedName>
    <definedName name="ttttrrrrrrrr">#REF!</definedName>
    <definedName name="ttttttttttttttttttttttt" hidden="1">{"'Summary'!$A$1:$J$46"}</definedName>
    <definedName name="tttttttttttttttttttttttt" hidden="1">#REF!</definedName>
    <definedName name="tttttttttttttttttttttttttttttt" hidden="1">#REF!</definedName>
    <definedName name="TUES1">#REF!</definedName>
    <definedName name="TWLEVE">#REF!</definedName>
    <definedName name="TY">#REF!</definedName>
    <definedName name="ty67u.">#REF!</definedName>
    <definedName name="tyh">#REF!</definedName>
    <definedName name="type">#REF!</definedName>
    <definedName name="type_de_poste">#REF!</definedName>
    <definedName name="Type3">#REF!</definedName>
    <definedName name="typeofbidder">#REF!</definedName>
    <definedName name="tyr" hidden="1">{"FTS",#N/A,FALSE,"E"}</definedName>
    <definedName name="tyu">#REF!</definedName>
    <definedName name="u">#N/A</definedName>
    <definedName name="UCN">#REF!</definedName>
    <definedName name="ueber">#REF!</definedName>
    <definedName name="ukp">#REF!</definedName>
    <definedName name="UMD">#REF!</definedName>
    <definedName name="ＵＭＲ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OK">#N/A</definedName>
    <definedName name="UNITS">#REF!</definedName>
    <definedName name="unnamed">#REF!</definedName>
    <definedName name="unpric_end">#REF!</definedName>
    <definedName name="Uo">#REF!</definedName>
    <definedName name="uohi">#REF!</definedName>
    <definedName name="uot" hidden="1">{"SUMMARY",#N/A,FALSE,"C"}</definedName>
    <definedName name="Upstream">#REF!</definedName>
    <definedName name="US">#REF!</definedName>
    <definedName name="USD">#REF!</definedName>
    <definedName name="Ut">#REF!</definedName>
    <definedName name="uta" hidden="1">{#N/A,#N/A,TRUE,"Perm";#N/A,#N/A,TRUE,"Architecture"}</definedName>
    <definedName name="UTS">#REF!</definedName>
    <definedName name="utu">#REF!</definedName>
    <definedName name="uuu">#REF!</definedName>
    <definedName name="uuuuuuuuuuuuuuuuu" hidden="1">{"'Sheet1'!$A$4386:$N$4591"}</definedName>
    <definedName name="uuuuuuuuuuuuuuuuuuuuuu" hidden="1">{"'Summary'!$A$1:$J$46"}</definedName>
    <definedName name="v">#REF!</definedName>
    <definedName name="v.K.Ramavaram">#N/A</definedName>
    <definedName name="V0c">#REF!</definedName>
    <definedName name="v1v">#REF!</definedName>
    <definedName name="v2v">#REF!</definedName>
    <definedName name="v3v">#REF!</definedName>
    <definedName name="v4v">#REF!</definedName>
    <definedName name="va">#REF!</definedName>
    <definedName name="va___0">#REF!</definedName>
    <definedName name="va___13">#REF!</definedName>
    <definedName name="vaa">#REF!</definedName>
    <definedName name="valprevious">#REF!</definedName>
    <definedName name="Value">#REF!</definedName>
    <definedName name="Values_Entered">IF(Loan_Amount*Interest_Rate*Loan_Years*Loan_Start&gt;0,1,0)</definedName>
    <definedName name="valuevx">42.314159</definedName>
    <definedName name="VANDEMATARAM">#REF!</definedName>
    <definedName name="vapi_baywise">#REF!</definedName>
    <definedName name="VAr">#REF!</definedName>
    <definedName name="Var._IGP_M_Dez_00">#REF!</definedName>
    <definedName name="Vavs">#REF!</definedName>
    <definedName name="VB">#REF!</definedName>
    <definedName name="Vc">#REF!</definedName>
    <definedName name="Vc0">#REF!</definedName>
    <definedName name="vcp">#REF!</definedName>
    <definedName name="VD">#REF!</definedName>
    <definedName name="Vdes">#REF!</definedName>
    <definedName name="velocity1">#REF!</definedName>
    <definedName name="VELOKAL">#REF!</definedName>
    <definedName name="Vend">#REF!</definedName>
    <definedName name="Venti">#REF!</definedName>
    <definedName name="vertical_col_and_corner_walls">#REF!</definedName>
    <definedName name="VESWH">#REF!</definedName>
    <definedName name="vev">#REF!</definedName>
    <definedName name="Vf">#REF!</definedName>
    <definedName name="Vfour">#REF!</definedName>
    <definedName name="Vfour_1">#REF!</definedName>
    <definedName name="vfourc">#REF!</definedName>
    <definedName name="vggfd" hidden="1">{"'Sheet1'!$A$4386:$N$4591"}</definedName>
    <definedName name="vggfd_1" hidden="1">{"'Sheet1'!$A$4386:$N$4591"}</definedName>
    <definedName name="vij">#REF!</definedName>
    <definedName name="vinod" hidden="1">{#N/A,#N/A,FALSE,"MODULE3"}</definedName>
    <definedName name="vinoth">#N/A</definedName>
    <definedName name="Viscosity">#REF!</definedName>
    <definedName name="VIVEKANANDA">#REF!</definedName>
    <definedName name="vk">#REF!</definedName>
    <definedName name="Vk2_4">#REF!</definedName>
    <definedName name="Vl">#REF!</definedName>
    <definedName name="Vm">#REF!</definedName>
    <definedName name="Vmax">#REF!</definedName>
    <definedName name="Vmin">#REF!</definedName>
    <definedName name="Vms">#REF!</definedName>
    <definedName name="volt">#REF!</definedName>
    <definedName name="Vone">#REF!</definedName>
    <definedName name="Vone_1">#REF!</definedName>
    <definedName name="VP">#REF!</definedName>
    <definedName name="Vph">#REF!</definedName>
    <definedName name="Vphcal">#REF!</definedName>
    <definedName name="VPOPO" hidden="1">{"PLANT BREAKUP",#N/A,FALSE,"E"}</definedName>
    <definedName name="vr">#REF!</definedName>
    <definedName name="Vref">#REF!</definedName>
    <definedName name="vrr">#REF!</definedName>
    <definedName name="Vs">#REF!</definedName>
    <definedName name="vsdlklksdnsdnglknsgsdgljgperjgkerpogneropgopwerngoper" hidden="1">{"'Sheet1'!$A$4386:$N$4591"}</definedName>
    <definedName name="Vsigma">#REF!</definedName>
    <definedName name="Vsigma1">#REF!</definedName>
    <definedName name="vthree">#REF!</definedName>
    <definedName name="vthree_1">#REF!</definedName>
    <definedName name="vtw">#REF!</definedName>
    <definedName name="Vtwo">#REF!</definedName>
    <definedName name="Vtwo_1">#REF!</definedName>
    <definedName name="Vtwo1">#REF!</definedName>
    <definedName name="VV" hidden="1">{"INVERSIONES",#N/A,FALSE,"Impresion"}</definedName>
    <definedName name="vvv">#REF!</definedName>
    <definedName name="Vw">#REF!</definedName>
    <definedName name="vxz">#REF!:#REF!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Vz_1">#REF!</definedName>
    <definedName name="W">#REF!</definedName>
    <definedName name="w_1">#REF!</definedName>
    <definedName name="w1_w2">#REF!</definedName>
    <definedName name="wa">#REF!</definedName>
    <definedName name="Waiting">"Picture 1"</definedName>
    <definedName name="Wall_Orientation">#REF!</definedName>
    <definedName name="Wall_Weights">#REF!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Factors">#REF!</definedName>
    <definedName name="Wallweights">#REF!</definedName>
    <definedName name="water_funds" hidden="1">{"'Sheet1'!$A$4386:$N$4591"}</definedName>
    <definedName name="water_funds_1" hidden="1">{"'Sheet1'!$A$4386:$N$4591"}</definedName>
    <definedName name="WBT">#REF!</definedName>
    <definedName name="Wc">#REF!</definedName>
    <definedName name="wd">#REF!</definedName>
    <definedName name="wdwed">#REF!</definedName>
    <definedName name="WE">#REF!</definedName>
    <definedName name="WEF">#REF!</definedName>
    <definedName name="WeightRange">#REF!</definedName>
    <definedName name="weqweqw">#REF!</definedName>
    <definedName name="weqwerw">#REF!</definedName>
    <definedName name="WER" hidden="1">{"INVERSIONES",#N/A,FALSE,"Impresion"}</definedName>
    <definedName name="werwere" hidden="1">#REF!</definedName>
    <definedName name="wetg" hidden="1">{"form-D1",#N/A,FALSE,"FORM-D1";"form-D1_amt",#N/A,FALSE,"FORM-D1"}</definedName>
    <definedName name="wewe">#REF!</definedName>
    <definedName name="wfqhofoo" hidden="1">{"PLANT BREAKUP",#N/A,FALSE,"E"}</definedName>
    <definedName name="Wg">#REF!</definedName>
    <definedName name="wgkjqklgw" hidden="1">{"PLANT BREAKUP",#N/A,FALSE,"E"}</definedName>
    <definedName name="wh">#REF!</definedName>
    <definedName name="Wi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Cal0">#REF!</definedName>
    <definedName name="WinCalendar_Calendar_1">#REF!</definedName>
    <definedName name="wind.m">#REF!</definedName>
    <definedName name="Wind_tunnel_testing">#REF!</definedName>
    <definedName name="WindP">#REF!</definedName>
    <definedName name="Winform">#REF!</definedName>
    <definedName name="WLP">#REF!</definedName>
    <definedName name="WMS">#REF!</definedName>
    <definedName name="women">#REF!</definedName>
    <definedName name="work">#REF!</definedName>
    <definedName name="work_schedule_All">#REF!</definedName>
    <definedName name="workscheduleal">#REF!</definedName>
    <definedName name="WORKSCHEDULEALL">#REF!</definedName>
    <definedName name="WP">#REF!</definedName>
    <definedName name="Wpc">#REF!</definedName>
    <definedName name="Wpt">#REF!</definedName>
    <definedName name="WQEW">#REF!</definedName>
    <definedName name="wqewe">#REF!</definedName>
    <definedName name="wqqqqqqqqqqqqqqqqqqq" hidden="1">#REF!</definedName>
    <definedName name="wqwrwrqwrqr">#REF!</definedName>
    <definedName name="wrm1.Grafico." hidden="1">{"gravta",#N/A,FALSE,"GrafFact";"GRABAI",#N/A,FALSE,"GrafBAI";"GRABDI",#N/A,FALSE,"GrafBDI"}</definedName>
    <definedName name="wrn.abc." hidden="1">{"Execavation",#N/A,FALSE,"furniture (employer)"}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hidden="1">{"form-D1",#N/A,FALSE,"FORM-D1";"form-D1_amt",#N/A,FALSE,"FORM-D1"}</definedName>
    <definedName name="wrn.CASH._.FLOW." hidden="1">{"CASH FLOW",#N/A,FALSE,"A"}</definedName>
    <definedName name="wrn.Co." hidden="1">{#N/A,#N/A,TRUE,"GW-Cond";#N/A,#N/A,TRUE,"HW"}</definedName>
    <definedName name="wrn.Co._1" hidden="1">{#N/A,#N/A,TRUE,"GW-Cond";#N/A,#N/A,TRUE,"HW"}</definedName>
    <definedName name="wrn.CPR.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wrn.cpr_res._.y._.bal_acum._.al._.mes." hidden="1">{"CPRRES",#N/A,TRUE,"CPR";"CPRBAL",#N/A,TRUE,"CPR"}</definedName>
    <definedName name="wrn.cpr_res._.y._.bal_mes._.y._.evol." hidden="1">{"RDOMES",#N/A,TRUE,"CPR";"BALMES",#N/A,TRUE,"CPR";"CPRRES",#N/A,TRUE,"CPR";"CPRBAL",#N/A,TRUE,"CPR"}</definedName>
    <definedName name="wrn.CustomerVersion1." hidden="1">{#N/A,#N/A,TRUE,"Perm";#N/A,#N/A,TRUE,"Architecture"}</definedName>
    <definedName name="wrn.DEV_SYNTHESE." hidden="1">{"COST",#N/A,FALSE,"SYNTHESE";"MARGIN",#N/A,FALSE,"SYNTHESE";"LOT_COM",#N/A,FALSE,"SYNTHESE"}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.ibv_act_pas_gastos_ingresos." hidden="1">{"ACT",#N/A,TRUE,"FIBV";"PAS",#N/A,TRUE,"FIBV";"RdoH",#N/A,TRUE,"FIBV";"RdoD",#N/A,TRUE,"FIBV"}</definedName>
    <definedName name="wrn.FTS." hidden="1">{"FTS",#N/A,FALSE,"E"}</definedName>
    <definedName name="wrn.FTS._.PLANT._.BREAKUP." hidden="1">{"PLANT BREAKUP",#N/A,FALSE,"E"}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rafico." hidden="1">{"gravta",#N/A,FALSE,"GrafFact";"GRABAI",#N/A,FALSE,"GrafBAI";"GRABDI",#N/A,FALSE,"GrafBDI"}</definedName>
    <definedName name="wrn.IGIM." hidden="1">{"ACU",#N/A,FALSE,"Acumul";"ME",#N/A,FALSE,"MES";"AJU",#N/A,FALSE,"Iñaki";"RESGPO",#N/A,FALSE,"ResGpo";"BALGPO",#N/A,FALSE,"BalGpo ";"GRA1",#N/A,FALSE,"GENE";"GRA2",#N/A,FALSE,"GENE";"GRA3",#N/A,FALSE,"GENE2";"GRA4",#N/A,FALSE,"GENE2";"PMOS",#N/A,FALSE,"Pmos"}</definedName>
    <definedName name="wrn.ILG." hidden="1">{"GAMESA",#N/A,FALSE,"Gamesa";"AERONAUTICA",#N/A,FALSE,"Estructuras";"INDUSTRIAL",#N/A,FALSE,"Componentes";"ENERGIA",#N/A,FALSE,"Energía";"EOLICA",#N/A,FALSE,"Fabricación";"SERVICIOS",#N/A,FALSE,"Servicios"}</definedName>
    <definedName name="wrn.INVERSIONES." hidden="1">{"INVERSIONES",#N/A,FALSE,"Impresion"}</definedName>
    <definedName name="wrn.item1." hidden="1">{#N/A,#N/A,FALSE,"Wadhal";#N/A,#N/A,FALSE,"Manglad U-S";#N/A,#N/A,FALSE,"Manglad D-S";#N/A,#N/A,FALSE,"Ratanpur U-S";#N/A,#N/A,FALSE,"Ratanpur D-S";#N/A,#N/A,FALSE,"VI Face"}</definedName>
    <definedName name="wrn.JRI." hidden="1">{"Lpor",#N/A,FALSE,"Porta";"LRDOS1",#N/A,FALSE,"Rdos";"LRDOS2",#N/A,FALSE,"Rdos";"LBAL1",#N/A,FALSE,"Bala";"LTES1",#N/A,FALSE,"Teso"}</definedName>
    <definedName name="wrn.LISEEFF." hidden="1">{"CPRRES",#N/A,TRUE,"CPR";"CPRBAL",#N/A,TRUE,"CPR"}</definedName>
    <definedName name="wrn.LisIBV." hidden="1">{"ACT",#N/A,TRUE,"FIBV";"PAS",#N/A,TRUE,"FIBV";"RdoH",#N/A,TRUE,"FIBV";"RdoD",#N/A,TRUE,"FIBV"}</definedName>
    <definedName name="wrn.LisTot." hidden="1">{"PAS",#N/A,TRUE,"FIBV";"ACT",#N/A,TRUE,"FIBV";"RdoH",#N/A,TRUE,"FIBV";"RdoD",#N/A,TRUE,"FIBV";"GRABAI",#N/A,TRUE,"GrafBAI";"GRABDI",#N/A,TRUE,"GrafBDI";"RDOMES",#N/A,TRUE,"CPR";"BALMES",#N/A,TRUE,"CPR";"CPRRES",#N/A,TRUE,"CPR";"CPRBAL",#N/A,TRUE,"CPR"}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ual." hidden="1">{#N/A,#N/A,FALSE,"CAPTION LIST (As-Built)";#N/A,#N/A,FALSE,"DOCUMENT LIST (As-Built)";#N/A,#N/A,FALSE,"PLANT SPECIFICATION";#N/A,#N/A,FALSE,"PRODUCT LIST"}</definedName>
    <definedName name="wrn.PLANNING." hidden="1">{"PLANNING",#N/A,FALSE,"A"}</definedName>
    <definedName name="wrn.PresTot." hidden="1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wrn.ResuPres." hidden="1">{"LRDOS1",#N/A,TRUE,"Amor";"LRDOS2",#N/A,TRUE,"Vtas";"LRDOS3",#N/A,TRUE,"Rdos";"LBAL1",#N/A,TRUE,"Bala";"LAMO1",#N/A,TRUE,"Amor";"LTES1",#N/A,TRUE,"Amor";"LINV1",#N/A,TRUE,"Amor";"LVTAS3",#N/A,TRUE,"Vtas";"LOTG1",#N/A,TRUE,"OtGa";"GING",#N/A,TRUE,"GrafIng";"GBAI",#N/A,TRUE,"GrafBAI";"GBDI",#N/A,TRUE,"GrafBdiCons";"GBDID",#N/A,TRUE,"GrafBdidomi";"shis1",#N/A,TRUE,"SerHist";"lplp1",#N/A,TRUE,"PrLP";"lpcp1",#N/A,TRUE,"PrCP";#N/A,#N/A,TRUE,"IFin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test." hidden="1">{#N/A,#N/A,FALSE,"Motor List"}</definedName>
    <definedName name="wrn.test._1" hidden="1">{#N/A,#N/A,FALSE,"Motor List"}</definedName>
    <definedName name="wrn.todos." hidden="1">{"PAS",#N/A,TRUE,"FIBV";"ACT",#N/A,TRUE,"FIBV";"RdoH",#N/A,TRUE,"FIBV";"RdoD",#N/A,TRUE,"FIBV";"RDOMES",#N/A,TRUE,"CPR";"BALMES",#N/A,TRUE,"CPR";"CPRRES",#N/A,TRUE,"CPR";"CPRBAL",#N/A,TRUE,"CPR"}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>#REF!</definedName>
    <definedName name="wt.m">#REF!</definedName>
    <definedName name="wu">#REF!</definedName>
    <definedName name="ww">#REF!</definedName>
    <definedName name="www">#REF!</definedName>
    <definedName name="wwwwwwwwwwwww" hidden="1">{"INVERSIONES",#N/A,FALSE,"Impresion"}</definedName>
    <definedName name="wwwwwwwwwwwwww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wwwwwwwwwwwwwww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wwwwwwwwwwwwwwwwww" hidden="1">{"'Sheet1'!$A$4386:$N$4591"}</definedName>
    <definedName name="wwwwwwwwwwwwwwwwwwww" hidden="1">#REF!</definedName>
    <definedName name="Wzone">#REF!</definedName>
    <definedName name="x">#REF!</definedName>
    <definedName name="x1byr1">#REF!</definedName>
    <definedName name="x1x">#REF!</definedName>
    <definedName name="x2x">#REF!</definedName>
    <definedName name="x3x">#REF!</definedName>
    <definedName name="xab">#REF!</definedName>
    <definedName name="xam" hidden="1">{"form-D1",#N/A,FALSE,"FORM-D1";"form-D1_amt",#N/A,FALSE,"FORM-D1"}</definedName>
    <definedName name="xas">#REF!</definedName>
    <definedName name="xbc">#REF!</definedName>
    <definedName name="xbd">#REF!</definedName>
    <definedName name="xbyr">#REF!</definedName>
    <definedName name="xc">#REF!</definedName>
    <definedName name="xca">#REF!</definedName>
    <definedName name="xdgesdrgtwrds">#REF!</definedName>
    <definedName name="xgc">#REF!</definedName>
    <definedName name="xi">#REF!</definedName>
    <definedName name="xii">#REF!</definedName>
    <definedName name="xiii">#REF!</definedName>
    <definedName name="Xl">#REF!</definedName>
    <definedName name="Xl___0">#REF!</definedName>
    <definedName name="Xl___13">#REF!</definedName>
    <definedName name="XLS_HOUR_SET_HIET">#REF!</definedName>
    <definedName name="XLS_P_MAT_HIET">#REF!</definedName>
    <definedName name="Xm">#REF!</definedName>
    <definedName name="xon">#REF!</definedName>
    <definedName name="xp">#REF!</definedName>
    <definedName name="XR">#REF!</definedName>
    <definedName name="XRZ11ph">#REF!</definedName>
    <definedName name="xs">#REF!</definedName>
    <definedName name="Xso">#REF!</definedName>
    <definedName name="xt">#REF!</definedName>
    <definedName name="xts">#REF!</definedName>
    <definedName name="xval">#REF!</definedName>
    <definedName name="xx">#REF!</definedName>
    <definedName name="xxh02">#REF!</definedName>
    <definedName name="xxh03">#REF!</definedName>
    <definedName name="xxho02">#REF!</definedName>
    <definedName name="XXX">#REF!</definedName>
    <definedName name="xxxxx" hidden="1">{#N/A,#N/A,TRUE,"Vergabe-Regeln";#N/A,#N/A,TRUE,"Baugruppen";#N/A,#N/A,TRUE,"Geräte";#N/A,#N/A,TRUE,"PC-Software";#N/A,#N/A,TRUE,"Software";#N/A,#N/A,TRUE,"SW-Reg";#N/A,#N/A,TRUE,"Dokumentation"}</definedName>
    <definedName name="xy">#REF!</definedName>
    <definedName name="xyz">#REF!,#REF!,#REF!,#REF!,#REF!,#REF!,#REF!,#REF!,#REF!,#REF!,#REF!,#REF!,#REF!,#REF!,#REF!,#REF!,#REF!,#REF!,#REF!,#REF!,#REF!,#REF!,#REF!,#REF!,#REF!,#REF!,#REF!,#REF!,#REF!,#REF!,#REF!,#REF!,#REF!,#REF!,#REF!,#REF!,#REF!</definedName>
    <definedName name="xyzz">#REF!</definedName>
    <definedName name="XZCVXFSDF">#REF!</definedName>
    <definedName name="Y">#REF!</definedName>
    <definedName name="Y0">#REF!</definedName>
    <definedName name="ya">#REF!</definedName>
    <definedName name="YEN">#REF!</definedName>
    <definedName name="yes">#REF!</definedName>
    <definedName name="yh" hidden="1">{#N/A,#N/A,TRUE,"Vergabe-Regeln";#N/A,#N/A,TRUE,"Baugruppen";#N/A,#N/A,TRUE,"Geräte";#N/A,#N/A,TRUE,"PC-Software";#N/A,#N/A,TRUE,"Software";#N/A,#N/A,TRUE,"SW-Reg";#N/A,#N/A,TRUE,"Dokumentation"}</definedName>
    <definedName name="yhhhhhhhhhhhhhhh" hidden="1">{"CASH FLOW",#N/A,FALSE,"A"}</definedName>
    <definedName name="yit">#REF!</definedName>
    <definedName name="yj">#REF!</definedName>
    <definedName name="yjgfgfgf">#REF!</definedName>
    <definedName name="yRNG">#REF!</definedName>
    <definedName name="yRNG1">#REF!</definedName>
    <definedName name="yry">#REF!</definedName>
    <definedName name="ys">#REF!</definedName>
    <definedName name="yt6565d">#REF!</definedName>
    <definedName name="ytrui">#REF!</definedName>
    <definedName name="yu">#REF!</definedName>
    <definedName name="yut6">#REF!</definedName>
    <definedName name="yva">#REF!</definedName>
    <definedName name="yy" hidden="1">{"CPRRES",#N/A,TRUE,"CPR";"CPRBAL",#N/A,TRUE,"CPR"}</definedName>
    <definedName name="yyy">#REF!</definedName>
    <definedName name="yyyyyyyyyyyyyyy" hidden="1">{"'Sheet1'!$A$4386:$N$4591"}</definedName>
    <definedName name="yyyyyyyyyyyyyyyyyy" hidden="1">{#N/A,#N/A,FALSE,"Main"}</definedName>
    <definedName name="yyyyyyyyyyyyyyyyyyyyyyy" hidden="1">#REF!</definedName>
    <definedName name="yyyyyyyyyyyyyyyyyyyyyyyyy" hidden="1">#REF!</definedName>
    <definedName name="yzw4">#REF!</definedName>
    <definedName name="z">#REF!</definedName>
    <definedName name="Z_87FC2C73_120F_4A0A_A49E_0CF96AAB3E9C_.wvu.FilterData" hidden="1">#REF!</definedName>
    <definedName name="Z0">#REF!</definedName>
    <definedName name="z1re">#REF!</definedName>
    <definedName name="za">#REF!</definedName>
    <definedName name="ZAR">#REF!</definedName>
    <definedName name="zdcxgzbz" hidden="1">{"INVERSIONES",#N/A,FALSE,"Impresion"}</definedName>
    <definedName name="zed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gm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>#REF!</definedName>
    <definedName name="ZMW">#REF!</definedName>
    <definedName name="Zo">#REF!</definedName>
    <definedName name="ZonaDaEliminare">#REF!</definedName>
    <definedName name="ZonaOrdinamento">#REF!</definedName>
    <definedName name="Zone_impres_MI">#REF!</definedName>
    <definedName name="zs">#REF!</definedName>
    <definedName name="zs___0">#REF!</definedName>
    <definedName name="zs___13">#REF!</definedName>
    <definedName name="Zsec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x">#REF!</definedName>
    <definedName name="zxc">#REF!</definedName>
    <definedName name="ZXFVXCVXCV">#REF!</definedName>
    <definedName name="ZY">#REF!</definedName>
    <definedName name="ZY___0">#REF!</definedName>
    <definedName name="ZY___13">#REF!</definedName>
    <definedName name="zz">#REF!</definedName>
    <definedName name="zzz">#REF!</definedName>
    <definedName name="ZZZZ">#REF!</definedName>
    <definedName name="zzzzzz" hidden="1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전체">#REF!</definedName>
    <definedName name="内运保险系数">#REF!</definedName>
    <definedName name="内运系数">#REF!</definedName>
    <definedName name="加工裕度">#REF!</definedName>
    <definedName name="单价分析表">#REF!</definedName>
    <definedName name="収支">#REF!</definedName>
    <definedName name="外运保险">#REF!</definedName>
    <definedName name="外运系数">#REF!</definedName>
    <definedName name="損益">#REF!</definedName>
    <definedName name="構成表_クエリー">#REF!</definedName>
    <definedName name="賞与６月実績">#REF!</definedName>
    <definedName name="金具系数">#REF!</definedName>
    <definedName name="铁塔单价">#REF!</definedName>
    <definedName name="铁塔安装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9" l="1"/>
  <c r="A38" i="19" l="1"/>
  <c r="AT42" i="19"/>
  <c r="AT41" i="19"/>
  <c r="AT40" i="19"/>
  <c r="Y37" i="19"/>
  <c r="Y43" i="19" s="1"/>
  <c r="C26" i="19"/>
  <c r="C2" i="18"/>
  <c r="C4" i="18" s="1"/>
  <c r="AA43" i="19"/>
  <c r="AB43" i="19"/>
  <c r="AC43" i="19"/>
  <c r="Y24" i="19"/>
  <c r="Z24" i="19"/>
  <c r="AC24" i="19"/>
  <c r="W25" i="19"/>
  <c r="X25" i="19"/>
  <c r="Y25" i="19"/>
  <c r="Z25" i="19"/>
  <c r="AA25" i="19"/>
  <c r="AB25" i="19"/>
  <c r="AC25" i="19"/>
  <c r="C27" i="19"/>
  <c r="D27" i="19" s="1"/>
  <c r="AT27" i="19" s="1"/>
  <c r="AA21" i="19"/>
  <c r="AB21" i="19"/>
  <c r="AA3" i="19"/>
  <c r="AB3" i="19" s="1"/>
  <c r="AB24" i="19" s="1"/>
  <c r="B6" i="19"/>
  <c r="AA24" i="19" l="1"/>
  <c r="C3" i="18" l="1"/>
  <c r="W3" i="19"/>
  <c r="X3" i="19" l="1"/>
  <c r="X24" i="19" s="1"/>
  <c r="W24" i="19"/>
  <c r="C12" i="18"/>
  <c r="C11" i="18"/>
  <c r="C6" i="18"/>
  <c r="C8" i="18"/>
  <c r="C9" i="18"/>
  <c r="C19" i="18"/>
  <c r="C10" i="18"/>
  <c r="C20" i="18"/>
  <c r="C5" i="19" l="1"/>
  <c r="B26" i="19"/>
  <c r="P5" i="19" l="1"/>
  <c r="N5" i="19"/>
  <c r="L5" i="19"/>
  <c r="C7" i="18"/>
  <c r="C6" i="19"/>
  <c r="I6" i="19" l="1"/>
  <c r="M6" i="19"/>
  <c r="K6" i="19"/>
  <c r="U24" i="19"/>
  <c r="V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AQ24" i="19"/>
  <c r="AR24" i="19"/>
  <c r="AT6" i="19" l="1"/>
  <c r="AU6" i="19" s="1"/>
  <c r="G61" i="19"/>
  <c r="F61" i="19"/>
  <c r="E61" i="19"/>
  <c r="E60" i="19"/>
  <c r="M59" i="19"/>
  <c r="H59" i="19"/>
  <c r="G59" i="19"/>
  <c r="F59" i="19"/>
  <c r="E59" i="19"/>
  <c r="F58" i="19"/>
  <c r="E58" i="19"/>
  <c r="E57" i="19"/>
  <c r="M56" i="19"/>
  <c r="K56" i="19"/>
  <c r="J56" i="19"/>
  <c r="I56" i="19"/>
  <c r="H56" i="19"/>
  <c r="G56" i="19"/>
  <c r="F56" i="19"/>
  <c r="E56" i="19"/>
  <c r="F55" i="19"/>
  <c r="E55" i="19"/>
  <c r="F54" i="19"/>
  <c r="E54" i="19"/>
  <c r="E53" i="19"/>
  <c r="AL62" i="19" l="1"/>
  <c r="E62" i="19" l="1"/>
  <c r="E64" i="19" s="1"/>
  <c r="AR43" i="19" l="1"/>
  <c r="AQ43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D25" i="19"/>
  <c r="D24" i="19"/>
  <c r="C42" i="19"/>
  <c r="C41" i="19"/>
  <c r="D26" i="19"/>
  <c r="AT26" i="19" s="1"/>
  <c r="B42" i="19"/>
  <c r="B41" i="19"/>
  <c r="B39" i="19"/>
  <c r="B61" i="19" s="1"/>
  <c r="B38" i="19"/>
  <c r="B37" i="19"/>
  <c r="B36" i="19"/>
  <c r="B35" i="19"/>
  <c r="B60" i="19" s="1"/>
  <c r="B34" i="19"/>
  <c r="B59" i="19" s="1"/>
  <c r="B33" i="19"/>
  <c r="B58" i="19" s="1"/>
  <c r="B32" i="19"/>
  <c r="B57" i="19" s="1"/>
  <c r="B31" i="19"/>
  <c r="B56" i="19" s="1"/>
  <c r="B30" i="19"/>
  <c r="B55" i="19" s="1"/>
  <c r="B29" i="19"/>
  <c r="B54" i="19" s="1"/>
  <c r="B28" i="19"/>
  <c r="B53" i="19" s="1"/>
  <c r="AR21" i="19"/>
  <c r="J25" i="19" l="1"/>
  <c r="Q25" i="19"/>
  <c r="O25" i="19"/>
  <c r="G25" i="19"/>
  <c r="N25" i="19"/>
  <c r="F25" i="19"/>
  <c r="H25" i="19"/>
  <c r="M25" i="19"/>
  <c r="T25" i="19"/>
  <c r="L25" i="19"/>
  <c r="R25" i="19"/>
  <c r="I25" i="19"/>
  <c r="P25" i="19"/>
  <c r="E25" i="19"/>
  <c r="S25" i="19"/>
  <c r="K25" i="19"/>
  <c r="U25" i="19" l="1"/>
  <c r="AU4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5" i="19"/>
  <c r="V25" i="19" l="1"/>
  <c r="AD25" i="19" l="1"/>
  <c r="C8" i="19"/>
  <c r="C11" i="19"/>
  <c r="C7" i="19"/>
  <c r="AQ21" i="19"/>
  <c r="AP21" i="19"/>
  <c r="C9" i="19"/>
  <c r="J9" i="19" l="1"/>
  <c r="K9" i="19"/>
  <c r="O9" i="19"/>
  <c r="N9" i="19"/>
  <c r="M9" i="19"/>
  <c r="L9" i="19"/>
  <c r="Q7" i="19"/>
  <c r="Y7" i="19"/>
  <c r="X7" i="19"/>
  <c r="X21" i="19" s="1"/>
  <c r="P11" i="19"/>
  <c r="O11" i="19"/>
  <c r="R11" i="19"/>
  <c r="Q11" i="19"/>
  <c r="M8" i="19"/>
  <c r="P8" i="19"/>
  <c r="Q8" i="19"/>
  <c r="O8" i="19"/>
  <c r="N8" i="19"/>
  <c r="W7" i="19"/>
  <c r="V7" i="19"/>
  <c r="U7" i="19"/>
  <c r="R7" i="19"/>
  <c r="T7" i="19"/>
  <c r="S7" i="19"/>
  <c r="M11" i="19"/>
  <c r="N11" i="19"/>
  <c r="AE25" i="19"/>
  <c r="L11" i="19"/>
  <c r="AO21" i="19"/>
  <c r="AF25" i="19" l="1"/>
  <c r="AN21" i="19"/>
  <c r="AL21" i="19"/>
  <c r="AM21" i="19"/>
  <c r="AG25" i="19" l="1"/>
  <c r="AH25" i="19" l="1"/>
  <c r="AI25" i="19" l="1"/>
  <c r="AJ25" i="19" l="1"/>
  <c r="AK25" i="19" l="1"/>
  <c r="AL25" i="19" l="1"/>
  <c r="AM25" i="19" l="1"/>
  <c r="AN25" i="19" l="1"/>
  <c r="AO25" i="19" l="1"/>
  <c r="AP25" i="19" l="1"/>
  <c r="AR25" i="19" l="1"/>
  <c r="AQ25" i="19"/>
  <c r="AX43" i="19" l="1"/>
  <c r="AO43" i="19"/>
  <c r="F43" i="19"/>
  <c r="E43" i="19"/>
  <c r="AT7" i="19"/>
  <c r="AT5" i="19"/>
  <c r="N10" i="18"/>
  <c r="AU7" i="19" l="1"/>
  <c r="AU26" i="19"/>
  <c r="N15" i="18"/>
  <c r="AU5" i="19" l="1"/>
  <c r="AT8" i="19" l="1"/>
  <c r="AU8" i="19" s="1"/>
  <c r="AT11" i="19" l="1"/>
  <c r="AU11" i="19" s="1"/>
  <c r="AT9" i="19" l="1"/>
  <c r="AU9" i="19" s="1"/>
  <c r="AT10" i="19" l="1"/>
  <c r="AU10" i="19" s="1"/>
  <c r="H58" i="19" l="1"/>
  <c r="G58" i="19"/>
  <c r="I58" i="19"/>
  <c r="H54" i="19"/>
  <c r="G54" i="19"/>
  <c r="G43" i="19"/>
  <c r="I59" i="19"/>
  <c r="H61" i="19"/>
  <c r="AK62" i="19"/>
  <c r="AJ62" i="19"/>
  <c r="F53" i="19" l="1"/>
  <c r="AI62" i="19"/>
  <c r="AH62" i="19"/>
  <c r="AG62" i="19"/>
  <c r="AL43" i="19"/>
  <c r="AE62" i="19"/>
  <c r="AM43" i="19"/>
  <c r="R62" i="19"/>
  <c r="P62" i="19"/>
  <c r="P64" i="19" s="1"/>
  <c r="AD62" i="19"/>
  <c r="S62" i="19"/>
  <c r="O62" i="19"/>
  <c r="O64" i="19" s="1"/>
  <c r="T62" i="19"/>
  <c r="AC62" i="19"/>
  <c r="AF62" i="19"/>
  <c r="G53" i="19" l="1"/>
  <c r="AG43" i="19"/>
  <c r="Q62" i="19"/>
  <c r="Q64" i="19" s="1"/>
  <c r="AH43" i="19"/>
  <c r="AJ43" i="19"/>
  <c r="AI43" i="19"/>
  <c r="AF43" i="19"/>
  <c r="AE43" i="19"/>
  <c r="AD43" i="19"/>
  <c r="N62" i="19"/>
  <c r="N64" i="19" s="1"/>
  <c r="AU40" i="19"/>
  <c r="AK43" i="19"/>
  <c r="AN43" i="19"/>
  <c r="AU42" i="19" l="1"/>
  <c r="C19" i="19"/>
  <c r="M19" i="19" s="1"/>
  <c r="C12" i="19"/>
  <c r="M12" i="19" s="1"/>
  <c r="C13" i="18"/>
  <c r="O12" i="19" l="1"/>
  <c r="Q12" i="19"/>
  <c r="O19" i="19"/>
  <c r="N19" i="19"/>
  <c r="P12" i="19"/>
  <c r="N12" i="19"/>
  <c r="AT19" i="19" l="1"/>
  <c r="AU19" i="19" s="1"/>
  <c r="AT12" i="19"/>
  <c r="AU12" i="19" l="1"/>
  <c r="C13" i="19"/>
  <c r="C14" i="18"/>
  <c r="AT13" i="19" l="1"/>
  <c r="AU13" i="19" l="1"/>
  <c r="C14" i="19"/>
  <c r="I14" i="19" s="1"/>
  <c r="C15" i="18"/>
  <c r="M14" i="19" l="1"/>
  <c r="P14" i="19"/>
  <c r="N14" i="19"/>
  <c r="O14" i="19"/>
  <c r="J14" i="19"/>
  <c r="K14" i="19"/>
  <c r="L14" i="19"/>
  <c r="AT14" i="19" l="1"/>
  <c r="AU14" i="19" l="1"/>
  <c r="C15" i="19"/>
  <c r="M15" i="19" s="1"/>
  <c r="C16" i="18"/>
  <c r="O15" i="19" l="1"/>
  <c r="Q15" i="19"/>
  <c r="AC15" i="19"/>
  <c r="AC21" i="19" s="1"/>
  <c r="AD15" i="19"/>
  <c r="AD21" i="19" s="1"/>
  <c r="AI15" i="19"/>
  <c r="AI21" i="19" s="1"/>
  <c r="AG15" i="19"/>
  <c r="AG21" i="19" s="1"/>
  <c r="AF15" i="19"/>
  <c r="AF21" i="19" s="1"/>
  <c r="AJ15" i="19"/>
  <c r="AJ21" i="19" s="1"/>
  <c r="S15" i="19"/>
  <c r="T15" i="19"/>
  <c r="AH15" i="19"/>
  <c r="AH21" i="19" s="1"/>
  <c r="R15" i="19"/>
  <c r="P15" i="19"/>
  <c r="N15" i="19"/>
  <c r="AK15" i="19"/>
  <c r="AK21" i="19" s="1"/>
  <c r="AE15" i="19"/>
  <c r="AE21" i="19" s="1"/>
  <c r="AT15" i="19" l="1"/>
  <c r="AU15" i="19" l="1"/>
  <c r="C16" i="19"/>
  <c r="C17" i="18"/>
  <c r="T16" i="19" l="1"/>
  <c r="U37" i="19" s="1"/>
  <c r="S16" i="19"/>
  <c r="T37" i="19" s="1"/>
  <c r="R16" i="19"/>
  <c r="S37" i="19" s="1"/>
  <c r="Q16" i="19"/>
  <c r="R37" i="19" s="1"/>
  <c r="J16" i="19"/>
  <c r="K37" i="19" s="1"/>
  <c r="P16" i="19"/>
  <c r="Q37" i="19" s="1"/>
  <c r="O16" i="19"/>
  <c r="P37" i="19" s="1"/>
  <c r="N16" i="19"/>
  <c r="O37" i="19" s="1"/>
  <c r="M16" i="19"/>
  <c r="N37" i="19" s="1"/>
  <c r="L16" i="19"/>
  <c r="M37" i="19" s="1"/>
  <c r="K16" i="19"/>
  <c r="L37" i="19" s="1"/>
  <c r="U16" i="19"/>
  <c r="AT16" i="19" l="1"/>
  <c r="AU16" i="19" s="1"/>
  <c r="V37" i="19"/>
  <c r="C17" i="19"/>
  <c r="C18" i="18"/>
  <c r="R17" i="19" l="1"/>
  <c r="S38" i="19" s="1"/>
  <c r="Q17" i="19"/>
  <c r="R38" i="19" s="1"/>
  <c r="P17" i="19"/>
  <c r="Q38" i="19" s="1"/>
  <c r="O17" i="19"/>
  <c r="P38" i="19" s="1"/>
  <c r="U17" i="19"/>
  <c r="V38" i="19" s="1"/>
  <c r="T17" i="19"/>
  <c r="U38" i="19" s="1"/>
  <c r="N17" i="19"/>
  <c r="O38" i="19" s="1"/>
  <c r="M17" i="19"/>
  <c r="N38" i="19" s="1"/>
  <c r="L17" i="19"/>
  <c r="M38" i="19" s="1"/>
  <c r="K17" i="19"/>
  <c r="L38" i="19" s="1"/>
  <c r="J17" i="19"/>
  <c r="K38" i="19" s="1"/>
  <c r="I17" i="19"/>
  <c r="H17" i="19"/>
  <c r="I38" i="19" s="1"/>
  <c r="S17" i="19"/>
  <c r="T38" i="19" s="1"/>
  <c r="AT17" i="19" l="1"/>
  <c r="AU17" i="19" s="1"/>
  <c r="J38" i="19"/>
  <c r="G11" i="18"/>
  <c r="G19" i="18"/>
  <c r="C18" i="19"/>
  <c r="G12" i="18"/>
  <c r="G13" i="18"/>
  <c r="G15" i="18"/>
  <c r="G9" i="18"/>
  <c r="G10" i="18"/>
  <c r="O18" i="19" l="1"/>
  <c r="R18" i="19"/>
  <c r="N18" i="19"/>
  <c r="M18" i="19"/>
  <c r="T18" i="19"/>
  <c r="S18" i="19"/>
  <c r="Q18" i="19"/>
  <c r="P18" i="19"/>
  <c r="G22" i="18"/>
  <c r="AT18" i="19" l="1"/>
  <c r="AU18" i="19" s="1"/>
  <c r="C20" i="19" l="1"/>
  <c r="D22" i="18"/>
  <c r="C21" i="18"/>
  <c r="C22" i="18" s="1"/>
  <c r="C24" i="18" s="1"/>
  <c r="Q20" i="19" l="1"/>
  <c r="P20" i="19"/>
  <c r="O20" i="19"/>
  <c r="N20" i="19"/>
  <c r="N21" i="19" s="1"/>
  <c r="R20" i="19"/>
  <c r="M20" i="19"/>
  <c r="L20" i="19"/>
  <c r="W20" i="19"/>
  <c r="K20" i="19"/>
  <c r="S20" i="19"/>
  <c r="J20" i="19"/>
  <c r="J21" i="19" s="1"/>
  <c r="V20" i="19"/>
  <c r="I20" i="19"/>
  <c r="U20" i="19"/>
  <c r="T20" i="19"/>
  <c r="F13" i="18"/>
  <c r="H13" i="18" s="1"/>
  <c r="I13" i="18" s="1"/>
  <c r="K13" i="18" s="1"/>
  <c r="F7" i="18"/>
  <c r="H7" i="18" s="1"/>
  <c r="I7" i="18" s="1"/>
  <c r="E7" i="18"/>
  <c r="F20" i="19"/>
  <c r="E20" i="19"/>
  <c r="D20" i="19"/>
  <c r="H20" i="19"/>
  <c r="G20" i="19"/>
  <c r="E11" i="18"/>
  <c r="E21" i="18"/>
  <c r="F9" i="18"/>
  <c r="H9" i="18" s="1"/>
  <c r="I9" i="18" s="1"/>
  <c r="K9" i="18" s="1"/>
  <c r="F17" i="18"/>
  <c r="H17" i="18" s="1"/>
  <c r="I17" i="18" s="1"/>
  <c r="K17" i="18" s="1"/>
  <c r="F14" i="18"/>
  <c r="H14" i="18" s="1"/>
  <c r="I14" i="18" s="1"/>
  <c r="K14" i="18" s="1"/>
  <c r="F6" i="18"/>
  <c r="H6" i="18" s="1"/>
  <c r="I6" i="18" s="1"/>
  <c r="E15" i="18"/>
  <c r="F15" i="18"/>
  <c r="H15" i="18" s="1"/>
  <c r="I15" i="18" s="1"/>
  <c r="K15" i="18" s="1"/>
  <c r="E18" i="18"/>
  <c r="F10" i="18"/>
  <c r="H10" i="18" s="1"/>
  <c r="I10" i="18" s="1"/>
  <c r="K10" i="18" s="1"/>
  <c r="E12" i="18"/>
  <c r="E20" i="18"/>
  <c r="O9" i="18"/>
  <c r="O13" i="18"/>
  <c r="O14" i="18"/>
  <c r="O12" i="18"/>
  <c r="C25" i="18"/>
  <c r="O10" i="18"/>
  <c r="O8" i="18"/>
  <c r="O6" i="18"/>
  <c r="E6" i="18"/>
  <c r="F8" i="18"/>
  <c r="H8" i="18" s="1"/>
  <c r="I8" i="18" s="1"/>
  <c r="F18" i="18"/>
  <c r="H18" i="18" s="1"/>
  <c r="I18" i="18" s="1"/>
  <c r="C77" i="19" s="1"/>
  <c r="I21" i="19"/>
  <c r="P21" i="19"/>
  <c r="F16" i="18"/>
  <c r="H16" i="18" s="1"/>
  <c r="I16" i="18" s="1"/>
  <c r="E10" i="18"/>
  <c r="D24" i="18"/>
  <c r="E8" i="18"/>
  <c r="F19" i="18"/>
  <c r="H19" i="18" s="1"/>
  <c r="I19" i="18" s="1"/>
  <c r="C21" i="19"/>
  <c r="E17" i="18"/>
  <c r="E9" i="18"/>
  <c r="E13" i="18"/>
  <c r="E14" i="18"/>
  <c r="E19" i="18"/>
  <c r="F12" i="18"/>
  <c r="H12" i="18" s="1"/>
  <c r="I12" i="18" s="1"/>
  <c r="F11" i="18"/>
  <c r="H11" i="18" s="1"/>
  <c r="I11" i="18" s="1"/>
  <c r="E16" i="18"/>
  <c r="F21" i="19" l="1"/>
  <c r="Q21" i="19"/>
  <c r="C35" i="19"/>
  <c r="J35" i="19" s="1"/>
  <c r="Z21" i="19"/>
  <c r="O21" i="19"/>
  <c r="U21" i="19"/>
  <c r="D21" i="19"/>
  <c r="D48" i="19" s="1"/>
  <c r="D71" i="19" s="1"/>
  <c r="G21" i="19"/>
  <c r="E21" i="19"/>
  <c r="M21" i="19"/>
  <c r="S21" i="19"/>
  <c r="T21" i="19"/>
  <c r="Y21" i="19"/>
  <c r="R21" i="19"/>
  <c r="K21" i="19"/>
  <c r="W21" i="19"/>
  <c r="H21" i="19"/>
  <c r="L21" i="19"/>
  <c r="V21" i="19"/>
  <c r="C48" i="19"/>
  <c r="Q14" i="18"/>
  <c r="Q8" i="18"/>
  <c r="C29" i="19"/>
  <c r="L29" i="19" s="1"/>
  <c r="Q13" i="18"/>
  <c r="I22" i="18"/>
  <c r="J15" i="18" s="1"/>
  <c r="P9" i="18"/>
  <c r="K11" i="18"/>
  <c r="AT20" i="19"/>
  <c r="K16" i="18"/>
  <c r="C37" i="19"/>
  <c r="K8" i="18"/>
  <c r="C30" i="19"/>
  <c r="J30" i="19" s="1"/>
  <c r="K19" i="18"/>
  <c r="R13" i="18"/>
  <c r="K18" i="18"/>
  <c r="R8" i="18"/>
  <c r="R14" i="18"/>
  <c r="F22" i="18"/>
  <c r="P8" i="18"/>
  <c r="P14" i="18"/>
  <c r="P6" i="18"/>
  <c r="P13" i="18"/>
  <c r="C34" i="19"/>
  <c r="K12" i="18"/>
  <c r="E22" i="18"/>
  <c r="G60" i="19"/>
  <c r="H60" i="19"/>
  <c r="F60" i="19"/>
  <c r="C33" i="19"/>
  <c r="L33" i="19" s="1"/>
  <c r="D25" i="18"/>
  <c r="O15" i="18"/>
  <c r="H22" i="18"/>
  <c r="D22" i="19" l="1"/>
  <c r="L35" i="19"/>
  <c r="J60" i="19" s="1"/>
  <c r="K35" i="19"/>
  <c r="I60" i="19" s="1"/>
  <c r="AP35" i="19"/>
  <c r="M35" i="19"/>
  <c r="K60" i="19" s="1"/>
  <c r="Z35" i="19"/>
  <c r="J7" i="18"/>
  <c r="Q35" i="19"/>
  <c r="O35" i="19"/>
  <c r="M60" i="19" s="1"/>
  <c r="N35" i="19"/>
  <c r="L60" i="19" s="1"/>
  <c r="W35" i="19"/>
  <c r="V35" i="19"/>
  <c r="P35" i="19"/>
  <c r="D35" i="19"/>
  <c r="Z37" i="19"/>
  <c r="W37" i="19"/>
  <c r="X37" i="19"/>
  <c r="W30" i="19"/>
  <c r="V30" i="19"/>
  <c r="Z30" i="19"/>
  <c r="V29" i="19"/>
  <c r="W29" i="19"/>
  <c r="Z29" i="19"/>
  <c r="P29" i="19"/>
  <c r="O29" i="19"/>
  <c r="M54" i="19" s="1"/>
  <c r="W33" i="19"/>
  <c r="V33" i="19"/>
  <c r="Z33" i="19"/>
  <c r="P33" i="19"/>
  <c r="O33" i="19"/>
  <c r="M58" i="19" s="1"/>
  <c r="E48" i="19"/>
  <c r="E22" i="19" s="1"/>
  <c r="W34" i="19"/>
  <c r="V34" i="19"/>
  <c r="Z34" i="19"/>
  <c r="D29" i="19"/>
  <c r="AP29" i="19"/>
  <c r="I54" i="19"/>
  <c r="N29" i="19"/>
  <c r="L54" i="19" s="1"/>
  <c r="M29" i="19"/>
  <c r="K54" i="19" s="1"/>
  <c r="J54" i="19"/>
  <c r="J6" i="18"/>
  <c r="J8" i="18"/>
  <c r="J17" i="18"/>
  <c r="J11" i="18"/>
  <c r="J12" i="18"/>
  <c r="J18" i="18"/>
  <c r="S13" i="18"/>
  <c r="J9" i="18"/>
  <c r="J10" i="18"/>
  <c r="J14" i="18"/>
  <c r="S8" i="18"/>
  <c r="J19" i="18"/>
  <c r="J13" i="18"/>
  <c r="J16" i="18"/>
  <c r="C39" i="19"/>
  <c r="C32" i="19"/>
  <c r="D37" i="19"/>
  <c r="AU20" i="19"/>
  <c r="AU21" i="19" s="1"/>
  <c r="AT21" i="19"/>
  <c r="AT22" i="19" s="1"/>
  <c r="M34" i="19"/>
  <c r="K59" i="19" s="1"/>
  <c r="D34" i="19"/>
  <c r="L34" i="19"/>
  <c r="J59" i="19" s="1"/>
  <c r="N34" i="19"/>
  <c r="L59" i="19" s="1"/>
  <c r="K22" i="18"/>
  <c r="C28" i="19"/>
  <c r="Q12" i="18"/>
  <c r="R10" i="18"/>
  <c r="S10" i="18" s="1"/>
  <c r="S9" i="18"/>
  <c r="C38" i="19"/>
  <c r="O30" i="19"/>
  <c r="M55" i="19" s="1"/>
  <c r="K30" i="19"/>
  <c r="I55" i="19" s="1"/>
  <c r="L30" i="19"/>
  <c r="J55" i="19" s="1"/>
  <c r="D30" i="19"/>
  <c r="H55" i="19"/>
  <c r="N30" i="19"/>
  <c r="L55" i="19" s="1"/>
  <c r="M30" i="19"/>
  <c r="K55" i="19" s="1"/>
  <c r="AP30" i="19"/>
  <c r="C36" i="19"/>
  <c r="C31" i="19"/>
  <c r="S6" i="18"/>
  <c r="S14" i="18"/>
  <c r="N33" i="19"/>
  <c r="L58" i="19" s="1"/>
  <c r="M33" i="19"/>
  <c r="AP33" i="19"/>
  <c r="J58" i="19"/>
  <c r="D33" i="19"/>
  <c r="AT35" i="19" l="1"/>
  <c r="AT30" i="19"/>
  <c r="AU30" i="19" s="1"/>
  <c r="AT34" i="19"/>
  <c r="AU34" i="19" s="1"/>
  <c r="AT29" i="19"/>
  <c r="U28" i="19"/>
  <c r="U43" i="19" s="1"/>
  <c r="T28" i="19"/>
  <c r="M28" i="19"/>
  <c r="S28" i="19"/>
  <c r="AT37" i="19"/>
  <c r="AU37" i="19" s="1"/>
  <c r="K58" i="19"/>
  <c r="C58" i="19" s="1"/>
  <c r="AT33" i="19"/>
  <c r="AU33" i="19" s="1"/>
  <c r="C60" i="19"/>
  <c r="AU35" i="19"/>
  <c r="F48" i="19"/>
  <c r="F22" i="19" s="1"/>
  <c r="E71" i="19"/>
  <c r="P31" i="19"/>
  <c r="Z31" i="19"/>
  <c r="Q31" i="19"/>
  <c r="W31" i="19"/>
  <c r="V31" i="19"/>
  <c r="Z28" i="19"/>
  <c r="Q28" i="19"/>
  <c r="R28" i="19"/>
  <c r="P28" i="19"/>
  <c r="W28" i="19"/>
  <c r="V28" i="19"/>
  <c r="Q32" i="19"/>
  <c r="O32" i="19"/>
  <c r="M57" i="19" s="1"/>
  <c r="P32" i="19"/>
  <c r="N32" i="19"/>
  <c r="L57" i="19" s="1"/>
  <c r="V32" i="19"/>
  <c r="M32" i="19"/>
  <c r="K57" i="19" s="1"/>
  <c r="W32" i="19"/>
  <c r="Z32" i="19"/>
  <c r="Z38" i="19"/>
  <c r="X38" i="19"/>
  <c r="X43" i="19" s="1"/>
  <c r="W38" i="19"/>
  <c r="T39" i="19"/>
  <c r="V39" i="19"/>
  <c r="Z39" i="19"/>
  <c r="S39" i="19"/>
  <c r="R39" i="19"/>
  <c r="W39" i="19"/>
  <c r="AU29" i="19"/>
  <c r="C54" i="19"/>
  <c r="J22" i="18"/>
  <c r="P15" i="18"/>
  <c r="P16" i="18" s="1"/>
  <c r="R15" i="18"/>
  <c r="R16" i="18" s="1"/>
  <c r="G55" i="19"/>
  <c r="K32" i="19"/>
  <c r="I57" i="19" s="1"/>
  <c r="AP32" i="19"/>
  <c r="D32" i="19"/>
  <c r="L32" i="19"/>
  <c r="J57" i="19" s="1"/>
  <c r="G57" i="19"/>
  <c r="H57" i="19"/>
  <c r="O28" i="19"/>
  <c r="C43" i="19"/>
  <c r="C47" i="19" s="1"/>
  <c r="C49" i="19" s="1"/>
  <c r="AY28" i="19"/>
  <c r="AY31" i="19"/>
  <c r="N28" i="19"/>
  <c r="AY30" i="19"/>
  <c r="AY33" i="19"/>
  <c r="D28" i="19"/>
  <c r="AY32" i="19"/>
  <c r="AY29" i="19"/>
  <c r="AP28" i="19"/>
  <c r="S12" i="18"/>
  <c r="Q15" i="18"/>
  <c r="Q16" i="18" s="1"/>
  <c r="AP31" i="19"/>
  <c r="D31" i="19"/>
  <c r="L56" i="19"/>
  <c r="C56" i="19" s="1"/>
  <c r="Q36" i="19"/>
  <c r="D36" i="19"/>
  <c r="AY37" i="19"/>
  <c r="AY38" i="19"/>
  <c r="AY39" i="19"/>
  <c r="AY36" i="19"/>
  <c r="AY35" i="19"/>
  <c r="K61" i="19"/>
  <c r="N39" i="19"/>
  <c r="L61" i="19" s="1"/>
  <c r="I61" i="19"/>
  <c r="P39" i="19"/>
  <c r="O39" i="19"/>
  <c r="M61" i="19" s="1"/>
  <c r="Q39" i="19"/>
  <c r="D39" i="19"/>
  <c r="J61" i="19"/>
  <c r="AP39" i="19"/>
  <c r="C59" i="19"/>
  <c r="AT36" i="19" l="1"/>
  <c r="AT32" i="19"/>
  <c r="AU32" i="19" s="1"/>
  <c r="AT31" i="19"/>
  <c r="AU31" i="19" s="1"/>
  <c r="AT39" i="19"/>
  <c r="AU39" i="19" s="1"/>
  <c r="AT28" i="19"/>
  <c r="AT38" i="19"/>
  <c r="AU38" i="19" s="1"/>
  <c r="F71" i="19"/>
  <c r="G48" i="19"/>
  <c r="G22" i="19" s="1"/>
  <c r="Z43" i="19"/>
  <c r="V43" i="19"/>
  <c r="W43" i="19"/>
  <c r="R43" i="19"/>
  <c r="S43" i="19"/>
  <c r="Q43" i="19"/>
  <c r="P43" i="19"/>
  <c r="H43" i="19"/>
  <c r="F57" i="19"/>
  <c r="AU36" i="19"/>
  <c r="AP43" i="19"/>
  <c r="N43" i="19"/>
  <c r="L53" i="19"/>
  <c r="L62" i="19" s="1"/>
  <c r="L64" i="19" s="1"/>
  <c r="H53" i="19"/>
  <c r="J43" i="19"/>
  <c r="T43" i="19"/>
  <c r="M53" i="19"/>
  <c r="M62" i="19" s="1"/>
  <c r="M64" i="19" s="1"/>
  <c r="O43" i="19"/>
  <c r="S15" i="18"/>
  <c r="C61" i="19"/>
  <c r="D43" i="19"/>
  <c r="L43" i="19"/>
  <c r="J53" i="19"/>
  <c r="J62" i="19" s="1"/>
  <c r="J64" i="19" s="1"/>
  <c r="I53" i="19"/>
  <c r="I62" i="19" s="1"/>
  <c r="I64" i="19" s="1"/>
  <c r="K43" i="19"/>
  <c r="K53" i="19"/>
  <c r="K62" i="19" s="1"/>
  <c r="K64" i="19" s="1"/>
  <c r="M43" i="19"/>
  <c r="C55" i="19"/>
  <c r="G62" i="19"/>
  <c r="G64" i="19" s="1"/>
  <c r="AY43" i="19"/>
  <c r="I43" i="19"/>
  <c r="H48" i="19" l="1"/>
  <c r="H22" i="19" s="1"/>
  <c r="G71" i="19"/>
  <c r="C53" i="19"/>
  <c r="H62" i="19"/>
  <c r="H64" i="19" s="1"/>
  <c r="AU28" i="19"/>
  <c r="AU43" i="19" s="1"/>
  <c r="AT43" i="19"/>
  <c r="E65" i="19"/>
  <c r="D47" i="19"/>
  <c r="F62" i="19"/>
  <c r="F64" i="19" s="1"/>
  <c r="C57" i="19"/>
  <c r="I48" i="19" l="1"/>
  <c r="I71" i="19" s="1"/>
  <c r="H71" i="19"/>
  <c r="J48" i="19"/>
  <c r="K48" i="19" s="1"/>
  <c r="I22" i="19"/>
  <c r="K65" i="19"/>
  <c r="H65" i="19"/>
  <c r="G65" i="19"/>
  <c r="F65" i="19"/>
  <c r="R64" i="19"/>
  <c r="L65" i="19"/>
  <c r="N65" i="19"/>
  <c r="I65" i="19"/>
  <c r="O65" i="19"/>
  <c r="M65" i="19"/>
  <c r="J65" i="19"/>
  <c r="D70" i="19"/>
  <c r="D49" i="19"/>
  <c r="D72" i="19" s="1"/>
  <c r="D44" i="19"/>
  <c r="E47" i="19"/>
  <c r="J22" i="19" l="1"/>
  <c r="J71" i="19"/>
  <c r="K22" i="19"/>
  <c r="K71" i="19"/>
  <c r="L48" i="19"/>
  <c r="E49" i="19"/>
  <c r="E72" i="19" s="1"/>
  <c r="E70" i="19"/>
  <c r="E44" i="19"/>
  <c r="F47" i="19"/>
  <c r="L71" i="19" l="1"/>
  <c r="L22" i="19"/>
  <c r="M48" i="19"/>
  <c r="F70" i="19"/>
  <c r="F44" i="19"/>
  <c r="F49" i="19"/>
  <c r="F72" i="19" s="1"/>
  <c r="G47" i="19"/>
  <c r="N48" i="19" l="1"/>
  <c r="M22" i="19"/>
  <c r="M71" i="19"/>
  <c r="G49" i="19"/>
  <c r="G72" i="19" s="1"/>
  <c r="G70" i="19"/>
  <c r="H47" i="19"/>
  <c r="G44" i="19"/>
  <c r="H49" i="19" l="1"/>
  <c r="H72" i="19" s="1"/>
  <c r="H44" i="19"/>
  <c r="H70" i="19"/>
  <c r="I47" i="19"/>
  <c r="N71" i="19"/>
  <c r="O48" i="19"/>
  <c r="N22" i="19"/>
  <c r="O71" i="19" l="1"/>
  <c r="P48" i="19"/>
  <c r="O22" i="19"/>
  <c r="I44" i="19"/>
  <c r="I49" i="19"/>
  <c r="I72" i="19" s="1"/>
  <c r="I70" i="19"/>
  <c r="J47" i="19"/>
  <c r="P22" i="19" l="1"/>
  <c r="Q48" i="19"/>
  <c r="P71" i="19"/>
  <c r="J70" i="19"/>
  <c r="J44" i="19"/>
  <c r="J49" i="19"/>
  <c r="J72" i="19" s="1"/>
  <c r="K47" i="19"/>
  <c r="K49" i="19" l="1"/>
  <c r="K72" i="19" s="1"/>
  <c r="K70" i="19"/>
  <c r="K44" i="19"/>
  <c r="L47" i="19"/>
  <c r="Q22" i="19"/>
  <c r="Q71" i="19"/>
  <c r="R48" i="19"/>
  <c r="L44" i="19" l="1"/>
  <c r="L70" i="19"/>
  <c r="L49" i="19"/>
  <c r="L72" i="19" s="1"/>
  <c r="M47" i="19"/>
  <c r="S48" i="19"/>
  <c r="R71" i="19"/>
  <c r="R22" i="19"/>
  <c r="M44" i="19" l="1"/>
  <c r="M49" i="19"/>
  <c r="M72" i="19" s="1"/>
  <c r="M70" i="19"/>
  <c r="N47" i="19"/>
  <c r="S71" i="19"/>
  <c r="T48" i="19"/>
  <c r="S22" i="19"/>
  <c r="T22" i="19" l="1"/>
  <c r="T71" i="19"/>
  <c r="U48" i="19"/>
  <c r="N70" i="19"/>
  <c r="N44" i="19"/>
  <c r="N49" i="19"/>
  <c r="N72" i="19" s="1"/>
  <c r="O47" i="19"/>
  <c r="U22" i="19" l="1"/>
  <c r="U71" i="19"/>
  <c r="V48" i="19"/>
  <c r="W48" i="19" s="1"/>
  <c r="O70" i="19"/>
  <c r="P47" i="19"/>
  <c r="O49" i="19"/>
  <c r="O44" i="19"/>
  <c r="X48" i="19" l="1"/>
  <c r="Y48" i="19" s="1"/>
  <c r="W22" i="19"/>
  <c r="P44" i="19"/>
  <c r="P70" i="19"/>
  <c r="P49" i="19"/>
  <c r="Q47" i="19"/>
  <c r="O50" i="19"/>
  <c r="O72" i="19"/>
  <c r="V22" i="19"/>
  <c r="V71" i="19"/>
  <c r="Z48" i="19" l="1"/>
  <c r="Y22" i="19"/>
  <c r="X22" i="19"/>
  <c r="Q70" i="19"/>
  <c r="Q49" i="19"/>
  <c r="Q44" i="19"/>
  <c r="R47" i="19"/>
  <c r="P72" i="19"/>
  <c r="P50" i="19"/>
  <c r="AA48" i="19" l="1"/>
  <c r="Z22" i="19"/>
  <c r="Q50" i="19"/>
  <c r="Q72" i="19"/>
  <c r="R44" i="19"/>
  <c r="R49" i="19"/>
  <c r="R70" i="19"/>
  <c r="S47" i="19"/>
  <c r="AB48" i="19" l="1"/>
  <c r="AA22" i="19"/>
  <c r="R72" i="19"/>
  <c r="R50" i="19"/>
  <c r="S49" i="19"/>
  <c r="S70" i="19"/>
  <c r="T47" i="19"/>
  <c r="S44" i="19"/>
  <c r="AC48" i="19" l="1"/>
  <c r="AB22" i="19"/>
  <c r="T49" i="19"/>
  <c r="T72" i="19" s="1"/>
  <c r="U47" i="19"/>
  <c r="U44" i="19" s="1"/>
  <c r="T44" i="19"/>
  <c r="T70" i="19"/>
  <c r="S72" i="19"/>
  <c r="S50" i="19"/>
  <c r="AD48" i="19" l="1"/>
  <c r="AC71" i="19"/>
  <c r="U49" i="19"/>
  <c r="U72" i="19" s="1"/>
  <c r="V47" i="19"/>
  <c r="U70" i="19"/>
  <c r="AE48" i="19" l="1"/>
  <c r="AD22" i="19"/>
  <c r="AD71" i="19"/>
  <c r="W47" i="19"/>
  <c r="W44" i="19" s="1"/>
  <c r="V44" i="19"/>
  <c r="V49" i="19"/>
  <c r="V72" i="19" s="1"/>
  <c r="V70" i="19"/>
  <c r="W49" i="19" l="1"/>
  <c r="X47" i="19"/>
  <c r="X49" i="19" s="1"/>
  <c r="AF48" i="19"/>
  <c r="AE22" i="19"/>
  <c r="AE71" i="19"/>
  <c r="X44" i="19" l="1"/>
  <c r="Y47" i="19"/>
  <c r="AG48" i="19"/>
  <c r="AF22" i="19"/>
  <c r="AF71" i="19"/>
  <c r="Y44" i="19" l="1"/>
  <c r="Z47" i="19"/>
  <c r="Y49" i="19"/>
  <c r="AH48" i="19"/>
  <c r="AG71" i="19"/>
  <c r="AG22" i="19"/>
  <c r="AA47" i="19" l="1"/>
  <c r="Z44" i="19"/>
  <c r="Z49" i="19"/>
  <c r="AI48" i="19"/>
  <c r="AH22" i="19"/>
  <c r="AH71" i="19"/>
  <c r="AB47" i="19" l="1"/>
  <c r="AA44" i="19"/>
  <c r="AA49" i="19"/>
  <c r="AJ48" i="19"/>
  <c r="AI71" i="19"/>
  <c r="AI22" i="19"/>
  <c r="AC47" i="19" l="1"/>
  <c r="AB44" i="19"/>
  <c r="AB49" i="19"/>
  <c r="AK48" i="19"/>
  <c r="AJ22" i="19"/>
  <c r="AJ71" i="19"/>
  <c r="AD47" i="19" l="1"/>
  <c r="AC49" i="19"/>
  <c r="AC72" i="19" s="1"/>
  <c r="AC70" i="19"/>
  <c r="AC44" i="19"/>
  <c r="AL48" i="19"/>
  <c r="AK22" i="19"/>
  <c r="AK71" i="19"/>
  <c r="AE47" i="19" l="1"/>
  <c r="AD49" i="19"/>
  <c r="AD72" i="19" s="1"/>
  <c r="AD44" i="19"/>
  <c r="AD70" i="19"/>
  <c r="AM48" i="19"/>
  <c r="AL71" i="19"/>
  <c r="AL22" i="19"/>
  <c r="AF47" i="19" l="1"/>
  <c r="AE49" i="19"/>
  <c r="AE72" i="19" s="1"/>
  <c r="AE44" i="19"/>
  <c r="AE70" i="19"/>
  <c r="AN48" i="19"/>
  <c r="AM71" i="19"/>
  <c r="AM22" i="19"/>
  <c r="AG47" i="19" l="1"/>
  <c r="AF49" i="19"/>
  <c r="AF72" i="19" s="1"/>
  <c r="AF70" i="19"/>
  <c r="AF44" i="19"/>
  <c r="AO48" i="19"/>
  <c r="AN71" i="19"/>
  <c r="AN22" i="19"/>
  <c r="AH47" i="19" l="1"/>
  <c r="AG49" i="19"/>
  <c r="AG72" i="19" s="1"/>
  <c r="AG70" i="19"/>
  <c r="AG44" i="19"/>
  <c r="AP48" i="19"/>
  <c r="AO22" i="19"/>
  <c r="AO71" i="19"/>
  <c r="AI47" i="19" l="1"/>
  <c r="AH49" i="19"/>
  <c r="AH72" i="19" s="1"/>
  <c r="AH70" i="19"/>
  <c r="AH44" i="19"/>
  <c r="AQ48" i="19"/>
  <c r="AP71" i="19"/>
  <c r="AP22" i="19"/>
  <c r="AJ47" i="19" l="1"/>
  <c r="AI49" i="19"/>
  <c r="AI72" i="19" s="1"/>
  <c r="AI70" i="19"/>
  <c r="AI44" i="19"/>
  <c r="AR48" i="19"/>
  <c r="AQ71" i="19"/>
  <c r="AQ22" i="19"/>
  <c r="AK47" i="19" l="1"/>
  <c r="AJ49" i="19"/>
  <c r="AJ72" i="19" s="1"/>
  <c r="AJ70" i="19"/>
  <c r="AJ44" i="19"/>
  <c r="AR71" i="19"/>
  <c r="AR22" i="19"/>
  <c r="AL47" i="19" l="1"/>
  <c r="AK49" i="19"/>
  <c r="AK72" i="19" s="1"/>
  <c r="AK44" i="19"/>
  <c r="AK70" i="19"/>
  <c r="AM47" i="19" l="1"/>
  <c r="AL49" i="19"/>
  <c r="AL72" i="19" s="1"/>
  <c r="AL44" i="19"/>
  <c r="AL70" i="19"/>
  <c r="AN47" i="19" l="1"/>
  <c r="AM49" i="19"/>
  <c r="AM72" i="19" s="1"/>
  <c r="AM70" i="19"/>
  <c r="AM44" i="19"/>
  <c r="AO47" i="19" l="1"/>
  <c r="AN49" i="19"/>
  <c r="AN72" i="19" s="1"/>
  <c r="AN70" i="19"/>
  <c r="AN44" i="19"/>
  <c r="AP47" i="19" l="1"/>
  <c r="AO49" i="19"/>
  <c r="AO72" i="19" s="1"/>
  <c r="AO44" i="19"/>
  <c r="AO70" i="19"/>
  <c r="AQ47" i="19" l="1"/>
  <c r="AP49" i="19"/>
  <c r="AP72" i="19" s="1"/>
  <c r="AP44" i="19"/>
  <c r="AP70" i="19"/>
  <c r="AR47" i="19" l="1"/>
  <c r="AQ49" i="19"/>
  <c r="AQ72" i="19" s="1"/>
  <c r="AQ70" i="19"/>
  <c r="AQ44" i="19"/>
  <c r="AR49" i="19" l="1"/>
  <c r="AR72" i="19" s="1"/>
  <c r="AR44" i="19"/>
  <c r="AR7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tc={3490CDCA-C4DE-430D-9F9D-40184E3A0E79}</author>
  </authors>
  <commentList>
    <comment ref="V28" authorId="0" shapeId="0" xr:uid="{3490CDCA-C4DE-430D-9F9D-40184E3A0E79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it is after 2 months?</t>
      </text>
    </comment>
  </commentList>
</comments>
</file>

<file path=xl/sharedStrings.xml><?xml version="1.0" encoding="utf-8"?>
<sst xmlns="http://schemas.openxmlformats.org/spreadsheetml/2006/main" count="146" uniqueCount="114">
  <si>
    <t>MWp</t>
  </si>
  <si>
    <t>DC Capacity</t>
  </si>
  <si>
    <t>AC Capacity</t>
  </si>
  <si>
    <t>MW</t>
  </si>
  <si>
    <t xml:space="preserve">Check </t>
  </si>
  <si>
    <t>Subtotal</t>
  </si>
  <si>
    <t>Check</t>
  </si>
  <si>
    <t>%</t>
  </si>
  <si>
    <t>Total</t>
  </si>
  <si>
    <t>Civil</t>
  </si>
  <si>
    <t>Supply</t>
  </si>
  <si>
    <t>Items</t>
  </si>
  <si>
    <t>Total Cost</t>
  </si>
  <si>
    <t>Total Cost in Crores</t>
  </si>
  <si>
    <t>% of Cost</t>
  </si>
  <si>
    <t>IDC &amp; Risk Loading</t>
  </si>
  <si>
    <t>Total cost with IDC Loading</t>
  </si>
  <si>
    <t>Total Sales</t>
  </si>
  <si>
    <t>% of Sales/invoice</t>
  </si>
  <si>
    <t>Total Invoice</t>
  </si>
  <si>
    <t>Client Payment Terms</t>
  </si>
  <si>
    <t>% of CV</t>
  </si>
  <si>
    <t>Invoice Value</t>
  </si>
  <si>
    <t>Erection</t>
  </si>
  <si>
    <t>Advance Payment</t>
  </si>
  <si>
    <t>Studies, PO Placement</t>
  </si>
  <si>
    <t>Inverter</t>
  </si>
  <si>
    <t>Civil Works</t>
  </si>
  <si>
    <t>Cables</t>
  </si>
  <si>
    <t>Installation</t>
  </si>
  <si>
    <t>Commissioning (BOS contractor can commission multiple blocks simultaneously)</t>
  </si>
  <si>
    <t>Completion of PR test, all punch points, As built documentation and Handover of the complete project &amp; submission of PBG for defect liability period</t>
  </si>
  <si>
    <t>Other Supply</t>
  </si>
  <si>
    <t xml:space="preserve">Total </t>
  </si>
  <si>
    <t xml:space="preserve">Sales </t>
  </si>
  <si>
    <t>Gross Margin</t>
  </si>
  <si>
    <t>Outflow</t>
  </si>
  <si>
    <t>Month</t>
  </si>
  <si>
    <t>Value</t>
  </si>
  <si>
    <t>Payment Terms/Assumptions</t>
  </si>
  <si>
    <t>100% Credit  period - 90 days</t>
  </si>
  <si>
    <t>100% Credit  period - 60 days</t>
  </si>
  <si>
    <t>Total - Outflow</t>
  </si>
  <si>
    <t>Inflow</t>
  </si>
  <si>
    <t>Total - Inflow</t>
  </si>
  <si>
    <t>Cum. Cash Inflow</t>
  </si>
  <si>
    <t>Cum. Cash Outflow</t>
  </si>
  <si>
    <t>Net Cashflow</t>
  </si>
  <si>
    <t>Power Transformer</t>
  </si>
  <si>
    <t>Cell</t>
  </si>
  <si>
    <t>IDC and R&amp;C</t>
  </si>
  <si>
    <t>Power Evacuation</t>
  </si>
  <si>
    <t>Mandatory Spares &amp; Freight</t>
  </si>
  <si>
    <t>Spares &amp; Freight Loading</t>
  </si>
  <si>
    <t>Delivery
No of Months/Lots</t>
  </si>
  <si>
    <t>Against dispatch of Material from Manufacturer’s work</t>
  </si>
  <si>
    <t>Upon receipt of Supply of Material/Equipment at site &amp; Acceptance thereof.</t>
  </si>
  <si>
    <t>Services</t>
  </si>
  <si>
    <t>Interest bearing advance payment</t>
  </si>
  <si>
    <t>On pro-rata basis against Completion and certification</t>
  </si>
  <si>
    <t>Client Payment Terms ( Credit Period : 30 days)</t>
  </si>
  <si>
    <t>Key equipment erection</t>
  </si>
  <si>
    <t>100% Credit  period - 180 days VFS</t>
  </si>
  <si>
    <t>Inverter Capacity</t>
  </si>
  <si>
    <t xml:space="preserve">GM% </t>
  </si>
  <si>
    <t>Invoice</t>
  </si>
  <si>
    <t>Advance Adjusted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</si>
  <si>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</si>
  <si>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</si>
  <si>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</si>
  <si>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</si>
  <si>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</si>
  <si>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</si>
  <si>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</si>
  <si>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</si>
  <si>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</si>
  <si>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</si>
  <si>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</si>
  <si>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</si>
  <si>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</si>
  <si>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</si>
  <si>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</si>
  <si>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</si>
  <si>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</si>
  <si>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</si>
  <si>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</si>
  <si>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</si>
  <si>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</si>
  <si>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</si>
  <si>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</si>
  <si>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</si>
  <si>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</si>
  <si>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</si>
  <si>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</si>
  <si>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</si>
  <si>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</si>
  <si>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</si>
  <si>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</si>
  <si>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</si>
  <si>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</si>
  <si>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10% advance, 90% Credit period - 90 days</t>
  </si>
  <si>
    <t>Upon Commissioning</t>
  </si>
  <si>
    <t>Upon Completion of Facilities</t>
  </si>
  <si>
    <t>Upon successful completion of PG Test</t>
  </si>
  <si>
    <t>Cell Tolling - Module</t>
  </si>
  <si>
    <t>IDT</t>
  </si>
  <si>
    <t>Despatch</t>
  </si>
  <si>
    <t>BCD</t>
  </si>
  <si>
    <t>MMS - Tracker</t>
  </si>
  <si>
    <t>Immediate after receipt at port</t>
  </si>
  <si>
    <t>PG Test</t>
  </si>
  <si>
    <t>Comm</t>
  </si>
  <si>
    <t>Compl</t>
  </si>
  <si>
    <t>100% Credit  period - 45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</si>
</sst>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(* #,##0.00_);_(* \(#,##0.00\);_(* &quot;-&quot;??_);_(@_)"/>
    <numFmt numFmtId="165" formatCode="_-* #,##0.00\ _€_-;\-* #,##0.00\ _€_-;_-* &quot;-&quot;??\ _€_-;_-@_-"/>
    <numFmt numFmtId="166" formatCode="0.0"/>
    <numFmt numFmtId="167" formatCode="0.0%"/>
    <numFmt numFmtId="168" formatCode="_(* #,##0_);_(* \(#,##0\);_(* &quot;-&quot;??_);_(@_)"/>
    <numFmt numFmtId="169" formatCode="_(* #,##0.0_);_(* \(#,##0.0\);_(* &quot;-&quot;??_);_(@_)"/>
    <numFmt numFmtId="170" formatCode="_(* #,##0_);_(* \(#,##0\);_(* &quot;-&quot;?_);_(@_)"/>
    <numFmt numFmtId="171" formatCode="_ * #,##0.0_ ;_ * \-#,##0.0_ ;_ * &quot;-&quot;??_ ;_ @_ "/>
    <numFmt numFmtId="172" formatCode="_(* #,##0.0_);_(* \(#,##0.0\);_(* &quot;-&quot;?_);_(@_)"/>
    <numFmt numFmtId="173" formatCode="0.0000"/>
    <numFmt numFmtId="174" formatCode="0.000"/>
    <numFmt numFmtId="175" formatCode="0.0000000000000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C1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4" fillId="2" borderId="1">
      <alignment horizontal="left" wrapText="1"/>
    </xf>
    <xf numFmtId="0" fontId="5" fillId="3" borderId="1">
      <alignment vertical="center" wrapText="1"/>
    </xf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1" fillId="0" borderId="0"/>
    <xf numFmtId="171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9" fontId="10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8" fontId="0" fillId="0" borderId="0" xfId="0" applyNumberFormat="1"/>
    <xf numFmtId="0" fontId="2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left" wrapText="1"/>
    </xf>
    <xf numFmtId="0" fontId="2" fillId="0" borderId="1" xfId="0" applyFont="1" applyBorder="1"/>
    <xf numFmtId="10" fontId="2" fillId="0" borderId="1" xfId="0" applyNumberFormat="1" applyFont="1" applyBorder="1"/>
    <xf numFmtId="164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167" fontId="0" fillId="0" borderId="0" xfId="1" applyNumberFormat="1" applyFont="1"/>
    <xf numFmtId="9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2" fillId="4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" fontId="3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64" fontId="6" fillId="4" borderId="0" xfId="0" applyNumberFormat="1" applyFont="1" applyFill="1"/>
    <xf numFmtId="10" fontId="0" fillId="0" borderId="0" xfId="0" applyNumberFormat="1"/>
    <xf numFmtId="9" fontId="0" fillId="0" borderId="0" xfId="0" applyNumberFormat="1"/>
    <xf numFmtId="167" fontId="0" fillId="0" borderId="0" xfId="0" applyNumberFormat="1"/>
    <xf numFmtId="0" fontId="6" fillId="7" borderId="0" xfId="0" applyFont="1" applyFill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67" fontId="0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6" fillId="7" borderId="1" xfId="0" applyFont="1" applyFill="1" applyBorder="1" applyAlignment="1">
      <alignment horizontal="left" vertical="center"/>
    </xf>
    <xf numFmtId="164" fontId="6" fillId="7" borderId="1" xfId="12" applyFont="1" applyFill="1" applyBorder="1"/>
    <xf numFmtId="164" fontId="6" fillId="7" borderId="0" xfId="12" applyFont="1" applyFill="1" applyBorder="1"/>
    <xf numFmtId="167" fontId="6" fillId="7" borderId="5" xfId="1" applyNumberFormat="1" applyFont="1" applyFill="1" applyBorder="1"/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0" xfId="0" applyNumberFormat="1"/>
    <xf numFmtId="9" fontId="0" fillId="0" borderId="5" xfId="1" applyFont="1" applyFill="1" applyBorder="1"/>
    <xf numFmtId="169" fontId="6" fillId="0" borderId="1" xfId="0" applyNumberFormat="1" applyFont="1" applyBorder="1"/>
    <xf numFmtId="168" fontId="0" fillId="0" borderId="1" xfId="12" applyNumberFormat="1" applyFont="1" applyBorder="1" applyAlignment="1">
      <alignment horizontal="center"/>
    </xf>
    <xf numFmtId="169" fontId="0" fillId="0" borderId="1" xfId="12" applyNumberFormat="1" applyFont="1" applyBorder="1" applyAlignment="1">
      <alignment horizontal="center"/>
    </xf>
    <xf numFmtId="169" fontId="6" fillId="4" borderId="1" xfId="0" applyNumberFormat="1" applyFont="1" applyFill="1" applyBorder="1"/>
    <xf numFmtId="168" fontId="6" fillId="4" borderId="1" xfId="0" applyNumberFormat="1" applyFont="1" applyFill="1" applyBorder="1"/>
    <xf numFmtId="169" fontId="0" fillId="0" borderId="1" xfId="0" applyNumberFormat="1" applyBorder="1"/>
    <xf numFmtId="169" fontId="0" fillId="0" borderId="1" xfId="12" applyNumberFormat="1" applyFont="1" applyBorder="1"/>
    <xf numFmtId="169" fontId="0" fillId="0" borderId="1" xfId="12" applyNumberFormat="1" applyFont="1" applyBorder="1" applyAlignment="1"/>
    <xf numFmtId="169" fontId="0" fillId="6" borderId="1" xfId="12" applyNumberFormat="1" applyFont="1" applyFill="1" applyBorder="1" applyAlignment="1"/>
    <xf numFmtId="169" fontId="0" fillId="0" borderId="1" xfId="12" applyNumberFormat="1" applyFont="1" applyFill="1" applyBorder="1" applyAlignment="1"/>
    <xf numFmtId="169" fontId="6" fillId="4" borderId="1" xfId="12" applyNumberFormat="1" applyFont="1" applyFill="1" applyBorder="1" applyAlignment="1"/>
    <xf numFmtId="9" fontId="6" fillId="4" borderId="0" xfId="1" applyFont="1" applyFill="1" applyBorder="1" applyAlignment="1"/>
    <xf numFmtId="169" fontId="6" fillId="7" borderId="1" xfId="12" applyNumberFormat="1" applyFont="1" applyFill="1" applyBorder="1"/>
    <xf numFmtId="168" fontId="6" fillId="7" borderId="1" xfId="12" applyNumberFormat="1" applyFont="1" applyFill="1" applyBorder="1"/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169" fontId="0" fillId="5" borderId="1" xfId="12" applyNumberFormat="1" applyFont="1" applyFill="1" applyBorder="1"/>
    <xf numFmtId="2" fontId="0" fillId="0" borderId="0" xfId="0" applyNumberFormat="1"/>
    <xf numFmtId="0" fontId="6" fillId="0" borderId="0" xfId="0" applyFont="1" applyAlignment="1">
      <alignment horizontal="left" vertical="center"/>
    </xf>
    <xf numFmtId="2" fontId="6" fillId="0" borderId="0" xfId="0" applyNumberFormat="1" applyFont="1"/>
    <xf numFmtId="0" fontId="6" fillId="0" borderId="0" xfId="0" applyFont="1"/>
    <xf numFmtId="166" fontId="6" fillId="0" borderId="0" xfId="0" applyNumberFormat="1" applyFont="1"/>
    <xf numFmtId="10" fontId="0" fillId="0" borderId="0" xfId="1" applyNumberFormat="1" applyFont="1"/>
    <xf numFmtId="164" fontId="0" fillId="0" borderId="0" xfId="12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2" fillId="0" borderId="2" xfId="0" applyFont="1" applyBorder="1"/>
    <xf numFmtId="169" fontId="0" fillId="0" borderId="0" xfId="0" applyNumberFormat="1"/>
    <xf numFmtId="0" fontId="8" fillId="0" borderId="0" xfId="0" applyFont="1"/>
    <xf numFmtId="169" fontId="2" fillId="0" borderId="1" xfId="0" applyNumberFormat="1" applyFont="1" applyBorder="1"/>
    <xf numFmtId="168" fontId="2" fillId="0" borderId="1" xfId="0" applyNumberFormat="1" applyFont="1" applyBorder="1"/>
    <xf numFmtId="170" fontId="2" fillId="0" borderId="0" xfId="0" applyNumberFormat="1" applyFont="1"/>
    <xf numFmtId="170" fontId="2" fillId="0" borderId="1" xfId="0" applyNumberFormat="1" applyFont="1" applyBorder="1"/>
    <xf numFmtId="172" fontId="2" fillId="0" borderId="1" xfId="0" applyNumberFormat="1" applyFont="1" applyBorder="1"/>
    <xf numFmtId="169" fontId="0" fillId="0" borderId="0" xfId="0" applyNumberFormat="1" applyAlignment="1">
      <alignment horizontal="center"/>
    </xf>
    <xf numFmtId="169" fontId="0" fillId="0" borderId="1" xfId="12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6" fontId="0" fillId="0" borderId="1" xfId="0" applyNumberFormat="1" applyBorder="1"/>
    <xf numFmtId="167" fontId="0" fillId="0" borderId="0" xfId="1" applyNumberFormat="1" applyFont="1" applyAlignment="1">
      <alignment horizontal="center"/>
    </xf>
    <xf numFmtId="166" fontId="0" fillId="0" borderId="0" xfId="0" applyNumberFormat="1"/>
    <xf numFmtId="166" fontId="2" fillId="0" borderId="0" xfId="0" applyNumberFormat="1" applyFont="1"/>
    <xf numFmtId="169" fontId="1" fillId="0" borderId="1" xfId="12" applyNumberFormat="1" applyFont="1" applyBorder="1" applyAlignment="1"/>
    <xf numFmtId="169" fontId="1" fillId="6" borderId="1" xfId="12" applyNumberFormat="1" applyFont="1" applyFill="1" applyBorder="1" applyAlignment="1"/>
    <xf numFmtId="169" fontId="1" fillId="6" borderId="1" xfId="0" applyNumberFormat="1" applyFont="1" applyFill="1" applyBorder="1" applyAlignment="1">
      <alignment vertical="center"/>
    </xf>
    <xf numFmtId="169" fontId="13" fillId="0" borderId="1" xfId="12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vertical="center"/>
    </xf>
    <xf numFmtId="9" fontId="6" fillId="4" borderId="0" xfId="1" applyFont="1" applyFill="1"/>
    <xf numFmtId="169" fontId="1" fillId="0" borderId="1" xfId="12" applyNumberFormat="1" applyFont="1" applyBorder="1"/>
    <xf numFmtId="173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9" fillId="4" borderId="1" xfId="12" applyFont="1" applyFill="1" applyBorder="1"/>
    <xf numFmtId="166" fontId="9" fillId="0" borderId="1" xfId="0" applyNumberFormat="1" applyFont="1" applyBorder="1" applyAlignment="1">
      <alignment horizontal="center" vertical="center"/>
    </xf>
    <xf numFmtId="167" fontId="9" fillId="0" borderId="1" xfId="1" applyNumberFormat="1" applyFont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166" fontId="9" fillId="0" borderId="1" xfId="12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9" fontId="9" fillId="0" borderId="1" xfId="1" applyFont="1" applyBorder="1" applyAlignment="1">
      <alignment horizontal="center" vertical="center"/>
    </xf>
    <xf numFmtId="164" fontId="9" fillId="0" borderId="1" xfId="1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2" fontId="9" fillId="0" borderId="1" xfId="1" applyNumberFormat="1" applyFont="1" applyBorder="1" applyAlignment="1">
      <alignment horizontal="center" vertical="center"/>
    </xf>
    <xf numFmtId="166" fontId="9" fillId="0" borderId="1" xfId="1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168" fontId="0" fillId="0" borderId="0" xfId="12" applyNumberFormat="1" applyFont="1"/>
    <xf numFmtId="166" fontId="0" fillId="0" borderId="0" xfId="0" applyNumberFormat="1" applyAlignment="1">
      <alignment horizontal="center"/>
    </xf>
    <xf numFmtId="164" fontId="6" fillId="0" borderId="1" xfId="0" applyNumberFormat="1" applyFont="1" applyBorder="1"/>
    <xf numFmtId="1" fontId="0" fillId="0" borderId="0" xfId="0" applyNumberFormat="1" applyAlignment="1">
      <alignment horizontal="center"/>
    </xf>
    <xf numFmtId="169" fontId="6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0" fillId="6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vertical="center"/>
    </xf>
    <xf numFmtId="169" fontId="0" fillId="6" borderId="1" xfId="0" applyNumberFormat="1" applyFill="1" applyBorder="1" applyAlignment="1">
      <alignment vertical="center"/>
    </xf>
    <xf numFmtId="169" fontId="0" fillId="0" borderId="1" xfId="12" applyNumberFormat="1" applyFont="1" applyBorder="1" applyAlignment="1">
      <alignment horizontal="center" vertical="center"/>
    </xf>
    <xf numFmtId="169" fontId="0" fillId="6" borderId="4" xfId="0" applyNumberFormat="1" applyFill="1" applyBorder="1" applyAlignment="1">
      <alignment vertical="center"/>
    </xf>
    <xf numFmtId="169" fontId="0" fillId="0" borderId="4" xfId="0" applyNumberFormat="1" applyBorder="1" applyAlignment="1">
      <alignment vertical="center"/>
    </xf>
    <xf numFmtId="169" fontId="0" fillId="0" borderId="4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9" fontId="0" fillId="6" borderId="1" xfId="12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75" fontId="0" fillId="0" borderId="0" xfId="0" applyNumberFormat="1"/>
    <xf numFmtId="169" fontId="14" fillId="6" borderId="1" xfId="0" applyNumberFormat="1" applyFont="1" applyFill="1" applyBorder="1" applyAlignment="1">
      <alignment vertical="center"/>
    </xf>
    <xf numFmtId="169" fontId="14" fillId="0" borderId="1" xfId="0" applyNumberFormat="1" applyFont="1" applyBorder="1" applyAlignment="1">
      <alignment vertical="center"/>
    </xf>
    <xf numFmtId="169" fontId="14" fillId="0" borderId="1" xfId="12" applyNumberFormat="1" applyFont="1" applyFill="1" applyBorder="1" applyAlignment="1">
      <alignment horizontal="center"/>
    </xf>
  </cellXfs>
  <cellStyles count="43">
    <cellStyle name="code SAP" xfId="3" xr:uid="{C828CD7F-3BB6-4938-8543-0730FC9A95EF}"/>
    <cellStyle name="Comma" xfId="12" builtinId="3"/>
    <cellStyle name="Comma 2" xfId="4" xr:uid="{F8830186-E389-4C40-8CFB-6407079F9CC9}"/>
    <cellStyle name="Comma 2 3" xfId="34" xr:uid="{4CB94FCE-048D-4CEF-BE1F-049A8F3A3055}"/>
    <cellStyle name="Comma 2 8 8 2" xfId="29" xr:uid="{69F5C6BC-05ED-44BE-979C-67CC3D2E4298}"/>
    <cellStyle name="Comma 3 2" xfId="8" xr:uid="{4FD7E723-935F-4EDF-AC56-BEF0B461B97A}"/>
    <cellStyle name="Comma 5 5 4 2 4 8 2" xfId="24" xr:uid="{E680B940-55A7-4676-9775-7CF3CF377AF0}"/>
    <cellStyle name="Comma 65 2" xfId="19" xr:uid="{1485865A-6DDB-425E-9273-434BECAF419D}"/>
    <cellStyle name="Comma 65 3 3 2 2" xfId="15" xr:uid="{3950CF3E-3F17-437D-8288-FCE573F61759}"/>
    <cellStyle name="Comma 74" xfId="35" xr:uid="{DA30930E-2925-4368-B6F2-F75320A783F8}"/>
    <cellStyle name="Comma 79 2 4 8 2" xfId="25" xr:uid="{16143584-6A7F-4DD0-B8C6-445142CFD0ED}"/>
    <cellStyle name="famille" xfId="2" xr:uid="{782B1CDD-CA0E-46A1-B081-3749EF6E63C1}"/>
    <cellStyle name="Normal" xfId="0" builtinId="0"/>
    <cellStyle name="Normal 12" xfId="36" xr:uid="{6BB1CC39-9B85-49B9-8774-E8FF262A65B7}"/>
    <cellStyle name="Normal 15 2 2" xfId="17" xr:uid="{E3415FFB-0221-4242-BE12-32FF0F3215FE}"/>
    <cellStyle name="Normal 15 2 3 4 2 3 2" xfId="14" xr:uid="{5364488D-2D92-4632-88A5-B2C640B34B25}"/>
    <cellStyle name="Normal 15 2 3 4 2 7 2" xfId="32" xr:uid="{0558049B-3F20-42C5-8998-D59AA15A9F54}"/>
    <cellStyle name="Normal 15 2 3 4 2 7 3" xfId="22" xr:uid="{4C2DCE2B-ABB6-426E-B06F-1B18FF1E4DDF}"/>
    <cellStyle name="Normal 15 2 3 4 2 8 2" xfId="30" xr:uid="{75DE907B-51C7-4443-8CCE-2BA076834C04}"/>
    <cellStyle name="Normal 16" xfId="39" xr:uid="{BAC52461-33A0-4D20-9D60-08517E6976F6}"/>
    <cellStyle name="Normal 16 4 2 4 8 2" xfId="27" xr:uid="{A0AA29CD-6B9D-407E-959B-F80754399713}"/>
    <cellStyle name="Normal 16 5 2 4 8 2" xfId="28" xr:uid="{40FCB5B8-2116-48EE-93E4-72E184E38422}"/>
    <cellStyle name="Normal 18" xfId="38" xr:uid="{476D7977-B66F-4CF3-84D8-D327055CA2D8}"/>
    <cellStyle name="Normal 2" xfId="10" xr:uid="{DF0EB60C-50BC-4D2B-A40E-536C286FD6F6}"/>
    <cellStyle name="Normal 2 10" xfId="20" xr:uid="{E9A9B067-E4AB-40BD-A3C3-03236A90C437}"/>
    <cellStyle name="Normal 2 11" xfId="31" xr:uid="{66CF5342-CA0D-4388-9C76-CD4EFC00E627}"/>
    <cellStyle name="Normal 2 2" xfId="37" xr:uid="{1F115A6C-B7A9-41B7-9E66-7CB880152ECB}"/>
    <cellStyle name="Normal 20 2" xfId="6" xr:uid="{F9E7A324-FF92-40B6-8CB5-E2C2C1910E81}"/>
    <cellStyle name="Normal 21" xfId="7" xr:uid="{F5EEAEE0-959B-4381-B000-5158413F4D03}"/>
    <cellStyle name="Normal 3 2" xfId="9" xr:uid="{B6114564-DF89-4740-A936-86444DB8151D}"/>
    <cellStyle name="Normal 34" xfId="5" xr:uid="{59EC50A9-A2AE-4D51-8135-B2E9E85A5044}"/>
    <cellStyle name="Normal 4" xfId="41" xr:uid="{D2A5643A-BF2E-4725-97D7-82108E7D3FC1}"/>
    <cellStyle name="Normal 47" xfId="21" xr:uid="{46ADD654-CC9F-442E-8DD7-D7D30B6A91ED}"/>
    <cellStyle name="Normal 47 2 4 8 2" xfId="23" xr:uid="{783AB811-106A-4645-B01E-06ED2C620898}"/>
    <cellStyle name="Normal 6 3 2" xfId="11" xr:uid="{5A9D5A71-A6F6-426A-9C97-02EBB48BE6BA}"/>
    <cellStyle name="Normal 7 2" xfId="40" xr:uid="{0045708D-FA5F-4711-9339-D7683C116C1F}"/>
    <cellStyle name="Normal 83 3" xfId="33" xr:uid="{1C67A7F1-F510-4024-B007-7FF4C7EE7D77}"/>
    <cellStyle name="Normal 83 4 8 2" xfId="26" xr:uid="{4C97E977-BF3D-47D1-91D2-7BB06935CD3C}"/>
    <cellStyle name="Percent" xfId="1" builtinId="5"/>
    <cellStyle name="Percent 2" xfId="13" xr:uid="{1DFE3603-0455-41F0-BF05-AEC396E453D8}"/>
    <cellStyle name="Percent 2 2" xfId="42" xr:uid="{12615DF2-44CD-4696-BA55-40B5143F1266}"/>
    <cellStyle name="Percent 69 2 2 5 2 2 2" xfId="18" xr:uid="{3773E1EC-47F0-40D1-B4F1-CE6AD4930EB1}"/>
    <cellStyle name="Percent 69 3 3 2 2 2" xfId="16" xr:uid="{DF49A410-69C5-4013-9D7A-F99A59BF32CB}"/>
  </cellStyles>
  <dxfs count="0"/>
  <tableStyles count="0" defaultTableStyle="TableStyleMedium2" defaultPivotStyle="PivotStyleLight16"/>
  <colors>
    <mruColors>
      <color rgb="FFDCC5ED"/>
      <color rgb="FFF1E8F8"/>
      <color rgb="FFDBD600"/>
      <color rgb="FF8BD8FF"/>
      <color rgb="FF66CCFF"/>
      <color rgb="FFFCE4FC"/>
      <color rgb="FFFCE4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Cashflow!$B$49</c:f>
              <c:strCache>
                <c:ptCount val="1"/>
                <c:pt idx="0">
                  <c:v>Net Cashflow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Cashflow!$D$49:$AA$49</c:f>
              <c:numCache>
                <c:formatCode>_(* #,##0.0_);_(* \(#,##0.0\);_(* "-"??_);_(@_)</c:formatCode>
                <c:ptCount val="24"/>
                <c:pt idx="0">
                  <c:v>144.46129032258065</c:v>
                </c:pt>
                <c:pt idx="1">
                  <c:v>143.76129032258063</c:v>
                </c:pt>
                <c:pt idx="2">
                  <c:v>143.06129032258065</c:v>
                </c:pt>
                <c:pt idx="3">
                  <c:v>141.66129032258064</c:v>
                </c:pt>
                <c:pt idx="4">
                  <c:v>137.36129032258063</c:v>
                </c:pt>
                <c:pt idx="5">
                  <c:v>99.486590322580639</c:v>
                </c:pt>
                <c:pt idx="6">
                  <c:v>88.688894145758653</c:v>
                </c:pt>
                <c:pt idx="7">
                  <c:v>61.001220489844656</c:v>
                </c:pt>
                <c:pt idx="8">
                  <c:v>28.925010462536221</c:v>
                </c:pt>
                <c:pt idx="9">
                  <c:v>50.373876002730753</c:v>
                </c:pt>
                <c:pt idx="10">
                  <c:v>72.376281268134335</c:v>
                </c:pt>
                <c:pt idx="11">
                  <c:v>131.06201986687131</c:v>
                </c:pt>
                <c:pt idx="12">
                  <c:v>154.10062322068597</c:v>
                </c:pt>
                <c:pt idx="13">
                  <c:v>166.8440415173236</c:v>
                </c:pt>
                <c:pt idx="14">
                  <c:v>165.21726395289272</c:v>
                </c:pt>
                <c:pt idx="15">
                  <c:v>173.75247210274767</c:v>
                </c:pt>
                <c:pt idx="16">
                  <c:v>125.27650725379738</c:v>
                </c:pt>
                <c:pt idx="17">
                  <c:v>71.50998087557582</c:v>
                </c:pt>
                <c:pt idx="18">
                  <c:v>38.125622119815489</c:v>
                </c:pt>
                <c:pt idx="19">
                  <c:v>7.360542754736116</c:v>
                </c:pt>
                <c:pt idx="20">
                  <c:v>2.3733435739885635</c:v>
                </c:pt>
                <c:pt idx="21">
                  <c:v>-0.48379928315432608</c:v>
                </c:pt>
                <c:pt idx="22">
                  <c:v>110.62731182795676</c:v>
                </c:pt>
                <c:pt idx="23">
                  <c:v>110.62731182795676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E-4B06-A366-30ACD8665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241791"/>
        <c:axId val="72244191"/>
      </c:barChart>
      <c:lineChart>
        <c:grouping val="standard"/>
        <c:varyColors val="0"/>
        <c:ser>
          <c:idx val="0"/>
          <c:order val="0"/>
          <c:tx>
            <c:strRef>
              <c:f>Cashflow!$B$47</c:f>
              <c:strCache>
                <c:ptCount val="1"/>
                <c:pt idx="0">
                  <c:v>Cum. Cash Inflow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Cashflow!$D$47:$AA$47</c:f>
              <c:numCache>
                <c:formatCode>_(* #,##0.0_);_(* \(#,##0.0\);_(* "-"??_);_(@_)</c:formatCode>
                <c:ptCount val="24"/>
                <c:pt idx="0">
                  <c:v>145.16129032258064</c:v>
                </c:pt>
                <c:pt idx="1">
                  <c:v>145.16129032258064</c:v>
                </c:pt>
                <c:pt idx="2">
                  <c:v>145.16129032258064</c:v>
                </c:pt>
                <c:pt idx="3">
                  <c:v>145.16129032258064</c:v>
                </c:pt>
                <c:pt idx="4">
                  <c:v>145.16129032258064</c:v>
                </c:pt>
                <c:pt idx="5">
                  <c:v>147.38659032258064</c:v>
                </c:pt>
                <c:pt idx="6">
                  <c:v>170.78889414575866</c:v>
                </c:pt>
                <c:pt idx="7">
                  <c:v>201.70122048984467</c:v>
                </c:pt>
                <c:pt idx="8">
                  <c:v>248.7726295101553</c:v>
                </c:pt>
                <c:pt idx="9">
                  <c:v>350.88578076463557</c:v>
                </c:pt>
                <c:pt idx="10">
                  <c:v>466.88580507765823</c:v>
                </c:pt>
                <c:pt idx="11">
                  <c:v>582.8858293906809</c:v>
                </c:pt>
                <c:pt idx="12">
                  <c:v>686.07205179211462</c:v>
                </c:pt>
                <c:pt idx="13">
                  <c:v>777.04404151732365</c:v>
                </c:pt>
                <c:pt idx="14">
                  <c:v>850.52440681003566</c:v>
                </c:pt>
                <c:pt idx="15">
                  <c:v>923.80247210274774</c:v>
                </c:pt>
                <c:pt idx="16">
                  <c:v>936.56936439665458</c:v>
                </c:pt>
                <c:pt idx="17">
                  <c:v>942.64569516129018</c:v>
                </c:pt>
                <c:pt idx="18">
                  <c:v>968.15419354838696</c:v>
                </c:pt>
                <c:pt idx="19">
                  <c:v>995.93197132616478</c:v>
                </c:pt>
                <c:pt idx="20">
                  <c:v>999.51620071684579</c:v>
                </c:pt>
                <c:pt idx="21">
                  <c:v>999.51620071684579</c:v>
                </c:pt>
                <c:pt idx="22">
                  <c:v>1110.6273118279569</c:v>
                </c:pt>
                <c:pt idx="23">
                  <c:v>1110.6273118279569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E-4B06-A366-30ACD86657D0}"/>
            </c:ext>
          </c:extLst>
        </c:ser>
        <c:ser>
          <c:idx val="1"/>
          <c:order val="1"/>
          <c:tx>
            <c:strRef>
              <c:f>Cashflow!$B$48</c:f>
              <c:strCache>
                <c:ptCount val="1"/>
                <c:pt idx="0">
                  <c:v>Cum. Cash Outflow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Cashflow!$D$48:$AA$48</c:f>
              <c:numCache>
                <c:formatCode>_(* #,##0.0_);_(* \(#,##0.0\);_(* "-"??_);_(@_)</c:formatCode>
                <c:ptCount val="24"/>
                <c:pt idx="0">
                  <c:v>0.70000000000000007</c:v>
                </c:pt>
                <c:pt idx="1">
                  <c:v>1.4000000000000001</c:v>
                </c:pt>
                <c:pt idx="2">
                  <c:v>2.1</c:v>
                </c:pt>
                <c:pt idx="3">
                  <c:v>3.5</c:v>
                </c:pt>
                <c:pt idx="4">
                  <c:v>7.8000000000000007</c:v>
                </c:pt>
                <c:pt idx="5">
                  <c:v>47.900000000000006</c:v>
                </c:pt>
                <c:pt idx="6">
                  <c:v>82.100000000000009</c:v>
                </c:pt>
                <c:pt idx="7">
                  <c:v>140.70000000000002</c:v>
                </c:pt>
                <c:pt idx="8">
                  <c:v>219.84761904761908</c:v>
                </c:pt>
                <c:pt idx="9">
                  <c:v>300.51190476190482</c:v>
                </c:pt>
                <c:pt idx="10">
                  <c:v>394.5095238095239</c:v>
                </c:pt>
                <c:pt idx="11">
                  <c:v>451.82380952380959</c:v>
                </c:pt>
                <c:pt idx="12">
                  <c:v>531.97142857142865</c:v>
                </c:pt>
                <c:pt idx="13">
                  <c:v>610.20000000000005</c:v>
                </c:pt>
                <c:pt idx="14">
                  <c:v>685.30714285714294</c:v>
                </c:pt>
                <c:pt idx="15">
                  <c:v>750.05000000000007</c:v>
                </c:pt>
                <c:pt idx="16">
                  <c:v>811.2928571428572</c:v>
                </c:pt>
                <c:pt idx="17">
                  <c:v>871.13571428571436</c:v>
                </c:pt>
                <c:pt idx="18">
                  <c:v>930.02857142857147</c:v>
                </c:pt>
                <c:pt idx="19">
                  <c:v>988.57142857142867</c:v>
                </c:pt>
                <c:pt idx="20">
                  <c:v>997.14285714285722</c:v>
                </c:pt>
                <c:pt idx="21">
                  <c:v>1000.0000000000001</c:v>
                </c:pt>
                <c:pt idx="22">
                  <c:v>1000.0000000000001</c:v>
                </c:pt>
                <c:pt idx="23">
                  <c:v>1000.0000000000001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E-4B06-A366-30ACD8665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41791"/>
        <c:axId val="72244191"/>
      </c:lineChart>
      <c:catAx>
        <c:axId val="72241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4191"/>
        <c:crosses val="autoZero"/>
        <c:auto val="1"/>
        <c:lblAlgn val="ctr"/>
        <c:lblOffset val="100"/>
        <c:noMultiLvlLbl val="0"/>
      </c:catAx>
      <c:valAx>
        <c:axId val="722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240721</xdr:colOff>
      <xdr:row>81</xdr:row>
      <xdr:rowOff>38780</xdr:rowOff>
    </xdr:from>
    <xdr:to>
      <xdr:col>22</xdr:col>
      <xdr:colOff>191698</xdr:colOff>
      <xdr:row>101</xdr:row>
      <xdr:rowOff>155755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4A64D5-1064-1DD7-E50C-9DF52E7D5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AD IMAM RIZVI" id="{8897BC93-50E3-44F0-889F-3FEA26F8EE35}" userId="S::shaad.rizvi@LNTECC.COM::45896558-f9c6-4fdb-aadf-9ab72d12c1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8" dT="2025-12-11T07:32:58.98" personId="{8897BC93-50E3-44F0-889F-3FEA26F8EE35}" id="{3490CDCA-C4DE-430D-9F9D-40184E3A0E79}">
    <text>Why it is after 2 months?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A972-2F0B-48BB-B372-FF936C31EFE3}">
  <dimension ref="B2:X53"/>
  <sheetViews>
    <sheetView tabSelected="1" zoomScale="85" zoomScaleNormal="85" workbookViewId="0">
      <selection activeCell="T24" sqref="T24"/>
    </sheetView>
  </sheetViews>
  <sheetFormatPr defaultRowHeight="14.4" x14ac:dyDescent="0.3"/>
  <cols>
    <col min="2" max="2" width="26.44140625" bestFit="1" customWidth="1"/>
    <col min="3" max="3" width="10" customWidth="1"/>
    <col min="4" max="4" width="10.77734375" customWidth="1"/>
    <col min="5" max="5" width="8.77734375" customWidth="1"/>
    <col min="6" max="6" width="10.21875" customWidth="1"/>
    <col min="7" max="7" width="9.44140625" customWidth="1"/>
    <col min="8" max="8" width="12.21875" customWidth="1"/>
    <col min="9" max="10" width="11.77734375" customWidth="1"/>
    <col min="11" max="11" width="9.44140625" customWidth="1"/>
    <col min="12" max="12" width="3" customWidth="1"/>
    <col min="13" max="13" width="31.77734375" hidden="1" customWidth="1"/>
    <col min="14" max="14" width="8.77734375" hidden="1" customWidth="1"/>
    <col min="15" max="15" width="13.77734375" hidden="1" customWidth="1"/>
    <col min="16" max="19" width="8.77734375" hidden="1" customWidth="1"/>
    <col min="20" max="20" width="24.109375" bestFit="1" customWidth="1"/>
  </cols>
  <sheetData>
    <row r="2" spans="2:24" x14ac:dyDescent="0.3">
      <c r="B2" s="7" t="s">
        <v>2</v>
      </c>
      <c r="C2" s="8">
        <f>650/2</f>
        <v>325</v>
      </c>
      <c r="D2" s="8" t="s">
        <v>3</v>
      </c>
      <c r="F2" s="103"/>
      <c r="G2" s="104"/>
      <c r="H2" s="105"/>
      <c r="I2" s="105"/>
      <c r="J2" s="105"/>
      <c r="K2" s="105"/>
    </row>
    <row r="3" spans="2:24" x14ac:dyDescent="0.3">
      <c r="B3" s="7" t="s">
        <v>63</v>
      </c>
      <c r="C3" s="106">
        <f>C2*1.2</f>
        <v>390</v>
      </c>
      <c r="D3" s="8" t="s">
        <v>3</v>
      </c>
      <c r="G3" s="75"/>
      <c r="H3" s="75"/>
    </row>
    <row r="4" spans="2:24" x14ac:dyDescent="0.3">
      <c r="B4" s="7" t="s">
        <v>1</v>
      </c>
      <c r="C4" s="106">
        <f>C2*1.5</f>
        <v>487.5</v>
      </c>
      <c r="D4" s="8" t="s">
        <v>0</v>
      </c>
    </row>
    <row r="5" spans="2:24" ht="43.2" x14ac:dyDescent="0.3">
      <c r="B5" s="9" t="s">
        <v>11</v>
      </c>
      <c r="C5" s="9" t="s">
        <v>12</v>
      </c>
      <c r="D5" s="10" t="s">
        <v>13</v>
      </c>
      <c r="E5" s="10" t="s">
        <v>14</v>
      </c>
      <c r="F5" s="10" t="s">
        <v>15</v>
      </c>
      <c r="G5" s="10" t="s">
        <v>53</v>
      </c>
      <c r="H5" s="10" t="s">
        <v>16</v>
      </c>
      <c r="I5" s="10" t="s">
        <v>17</v>
      </c>
      <c r="J5" s="10" t="s">
        <v>18</v>
      </c>
      <c r="K5" s="10" t="s">
        <v>19</v>
      </c>
      <c r="M5" s="77" t="s">
        <v>20</v>
      </c>
      <c r="N5" s="11" t="s">
        <v>21</v>
      </c>
      <c r="O5" s="10" t="s">
        <v>22</v>
      </c>
      <c r="P5" s="11" t="s">
        <v>10</v>
      </c>
      <c r="Q5" s="11" t="s">
        <v>23</v>
      </c>
      <c r="R5" s="11" t="s">
        <v>9</v>
      </c>
      <c r="S5" s="11" t="s">
        <v>4</v>
      </c>
    </row>
    <row r="6" spans="2:24" x14ac:dyDescent="0.3">
      <c r="B6" s="12" t="s">
        <v>49</v>
      </c>
      <c r="C6" s="107">
        <f t="shared" ref="C6:C11" si="0">D6/$C$4</f>
        <v>0.20512820512820512</v>
      </c>
      <c r="D6" s="108">
        <v>100</v>
      </c>
      <c r="E6" s="109">
        <f>D6/$D$22</f>
        <v>0.1</v>
      </c>
      <c r="F6" s="110">
        <f>(D6/($D$22-($D$21+$D$20)))*$D$21</f>
        <v>7.5268817204301079</v>
      </c>
      <c r="G6" s="110"/>
      <c r="H6" s="111">
        <f>G6+F6+D6</f>
        <v>107.52688172043011</v>
      </c>
      <c r="I6" s="112">
        <f>H6/(1-$C$23)</f>
        <v>119.47431302270012</v>
      </c>
      <c r="J6" s="113">
        <f>I6/$I$22</f>
        <v>0.10752688172043011</v>
      </c>
      <c r="K6" s="114"/>
      <c r="M6" s="78" t="s">
        <v>24</v>
      </c>
      <c r="N6" s="13">
        <v>0.15</v>
      </c>
      <c r="O6" s="14">
        <f>(N6*$C$24)/10^7</f>
        <v>3.4188034188034186E-8</v>
      </c>
      <c r="P6" s="15">
        <f>SUM($I$8:$I$16)*N6</f>
        <v>116.48745519713259</v>
      </c>
      <c r="Q6" s="15"/>
      <c r="R6" s="15"/>
      <c r="S6" s="16">
        <f>SUM(P6:R6)-O6</f>
        <v>116.48745516294456</v>
      </c>
      <c r="T6" s="139"/>
      <c r="X6" s="49"/>
    </row>
    <row r="7" spans="2:24" x14ac:dyDescent="0.3">
      <c r="B7" s="12" t="s">
        <v>107</v>
      </c>
      <c r="C7" s="107">
        <f t="shared" si="0"/>
        <v>0.12307692307692308</v>
      </c>
      <c r="D7" s="108">
        <v>60</v>
      </c>
      <c r="E7" s="109">
        <f>D7/$D$22</f>
        <v>0.06</v>
      </c>
      <c r="F7" s="110">
        <f>(D7/($D$22-($D$21+$D$20)))*$D$21</f>
        <v>4.5161290322580641</v>
      </c>
      <c r="G7" s="110"/>
      <c r="H7" s="111">
        <f>G7+F7+D7</f>
        <v>64.516129032258064</v>
      </c>
      <c r="I7" s="112">
        <f>H7/(1-$C$23)</f>
        <v>71.68458781362007</v>
      </c>
      <c r="J7" s="113">
        <f>I7/$I$22</f>
        <v>6.4516129032258063E-2</v>
      </c>
      <c r="K7" s="114"/>
      <c r="M7" s="78"/>
      <c r="N7" s="13"/>
      <c r="O7" s="14"/>
      <c r="P7" s="15"/>
      <c r="Q7" s="15"/>
      <c r="R7" s="15"/>
      <c r="S7" s="16"/>
      <c r="T7" s="139"/>
      <c r="X7" s="49"/>
    </row>
    <row r="8" spans="2:24" x14ac:dyDescent="0.3">
      <c r="B8" s="12" t="s">
        <v>104</v>
      </c>
      <c r="C8" s="107">
        <f t="shared" si="0"/>
        <v>0.82051282051282048</v>
      </c>
      <c r="D8" s="108">
        <v>400</v>
      </c>
      <c r="E8" s="113">
        <f t="shared" ref="E8:E21" si="1">D8/$D$22</f>
        <v>0.4</v>
      </c>
      <c r="F8" s="110">
        <f t="shared" ref="F8:F19" si="2">(D8/($D$22-($D$21+$D$20)))*$D$21</f>
        <v>30.107526881720432</v>
      </c>
      <c r="G8" s="110"/>
      <c r="H8" s="111">
        <f t="shared" ref="H8:H19" si="3">G8+F8+D8</f>
        <v>430.10752688172045</v>
      </c>
      <c r="I8" s="112">
        <f t="shared" ref="I8:I19" si="4">H8/(1-$C$23)</f>
        <v>477.89725209080046</v>
      </c>
      <c r="J8" s="113">
        <f t="shared" ref="J8:J19" si="5">I8/$I$22</f>
        <v>0.43010752688172044</v>
      </c>
      <c r="K8" s="114">
        <f>SUM(I6:I8)</f>
        <v>669.05615292712059</v>
      </c>
      <c r="M8" s="79" t="s">
        <v>25</v>
      </c>
      <c r="N8" s="13"/>
      <c r="O8" s="14">
        <f>(N8*$C$24)/10^7</f>
        <v>0</v>
      </c>
      <c r="P8" s="15">
        <f>SUM($I$8:$I$16)*N8</f>
        <v>0</v>
      </c>
      <c r="Q8" s="15">
        <f>$I$17*$N8</f>
        <v>0</v>
      </c>
      <c r="R8" s="15">
        <f>$I$18*$N8</f>
        <v>0</v>
      </c>
      <c r="S8" s="16">
        <f t="shared" ref="S8:S15" si="6">SUM(P8:R8)-O8</f>
        <v>0</v>
      </c>
      <c r="T8" s="139"/>
      <c r="U8" s="49"/>
    </row>
    <row r="9" spans="2:24" x14ac:dyDescent="0.3">
      <c r="B9" s="12" t="s">
        <v>26</v>
      </c>
      <c r="C9" s="107">
        <f t="shared" si="0"/>
        <v>8.2051282051282051E-2</v>
      </c>
      <c r="D9" s="108">
        <v>40</v>
      </c>
      <c r="E9" s="113">
        <f t="shared" si="1"/>
        <v>0.04</v>
      </c>
      <c r="F9" s="110">
        <f t="shared" si="2"/>
        <v>3.0107526881720434</v>
      </c>
      <c r="G9" s="110">
        <f>(D9/(SUM($D$9:$D$13,$D$15,$D$19))*$D$20)</f>
        <v>0</v>
      </c>
      <c r="H9" s="111">
        <f t="shared" si="3"/>
        <v>43.01075268817204</v>
      </c>
      <c r="I9" s="112">
        <f t="shared" si="4"/>
        <v>47.789725209080046</v>
      </c>
      <c r="J9" s="113">
        <f t="shared" si="5"/>
        <v>4.301075268817204E-2</v>
      </c>
      <c r="K9" s="114">
        <f>I9</f>
        <v>47.789725209080046</v>
      </c>
      <c r="M9" s="80" t="s">
        <v>106</v>
      </c>
      <c r="N9" s="13">
        <v>1</v>
      </c>
      <c r="O9" s="14">
        <f>(N9*$C$24)/10^7</f>
        <v>2.2792022792022789E-7</v>
      </c>
      <c r="P9" s="15">
        <f>SUM($I$8:$I$16)*N9</f>
        <v>776.58303464755068</v>
      </c>
      <c r="Q9" s="3"/>
      <c r="R9" s="3"/>
      <c r="S9" s="16">
        <f t="shared" si="6"/>
        <v>776.58303441963039</v>
      </c>
      <c r="T9" s="139"/>
      <c r="U9" s="49"/>
    </row>
    <row r="10" spans="2:24" x14ac:dyDescent="0.3">
      <c r="B10" s="12" t="s">
        <v>108</v>
      </c>
      <c r="C10" s="107">
        <f t="shared" si="0"/>
        <v>0.12307692307692308</v>
      </c>
      <c r="D10" s="108">
        <v>60</v>
      </c>
      <c r="E10" s="113">
        <f t="shared" si="1"/>
        <v>0.06</v>
      </c>
      <c r="F10" s="110">
        <f t="shared" si="2"/>
        <v>4.5161290322580641</v>
      </c>
      <c r="G10" s="110">
        <f>(D10/(SUM($D$9:$D$13,$D$15,$D$19))*$D$20)</f>
        <v>0</v>
      </c>
      <c r="H10" s="111">
        <f t="shared" si="3"/>
        <v>64.516129032258064</v>
      </c>
      <c r="I10" s="112">
        <f t="shared" si="4"/>
        <v>71.68458781362007</v>
      </c>
      <c r="J10" s="113">
        <f t="shared" si="5"/>
        <v>6.4516129032258063E-2</v>
      </c>
      <c r="K10" s="114">
        <f t="shared" ref="K10:K19" si="7">I10</f>
        <v>71.68458781362007</v>
      </c>
      <c r="M10" s="80" t="s">
        <v>27</v>
      </c>
      <c r="N10" s="13">
        <f>Cashflow!AX30</f>
        <v>0.15</v>
      </c>
      <c r="O10" s="14">
        <f>(N10*$C$24)/10^7</f>
        <v>3.4188034188034186E-8</v>
      </c>
      <c r="P10" s="3"/>
      <c r="Q10" s="3"/>
      <c r="R10" s="16">
        <f>O15*N10</f>
        <v>4.4444444444444441E-8</v>
      </c>
      <c r="S10" s="16">
        <f t="shared" si="6"/>
        <v>1.0256410256410255E-8</v>
      </c>
      <c r="T10" s="139"/>
      <c r="U10" s="49"/>
    </row>
    <row r="11" spans="2:24" x14ac:dyDescent="0.3">
      <c r="B11" s="12" t="s">
        <v>48</v>
      </c>
      <c r="C11" s="107">
        <f t="shared" si="0"/>
        <v>0</v>
      </c>
      <c r="D11" s="108">
        <v>0</v>
      </c>
      <c r="E11" s="113">
        <f t="shared" si="1"/>
        <v>0</v>
      </c>
      <c r="F11" s="110">
        <f t="shared" si="2"/>
        <v>0</v>
      </c>
      <c r="G11" s="110">
        <f>(D11/(SUM($D$9:$D$13,$D$15,$D$19))*$D$20)</f>
        <v>0</v>
      </c>
      <c r="H11" s="111">
        <f t="shared" si="3"/>
        <v>0</v>
      </c>
      <c r="I11" s="112">
        <f t="shared" si="4"/>
        <v>0</v>
      </c>
      <c r="J11" s="113">
        <f t="shared" si="5"/>
        <v>0</v>
      </c>
      <c r="K11" s="114">
        <f t="shared" si="7"/>
        <v>0</v>
      </c>
      <c r="M11" s="80"/>
      <c r="N11" s="13"/>
      <c r="O11" s="14"/>
      <c r="P11" s="3"/>
      <c r="Q11" s="3"/>
      <c r="R11" s="16"/>
      <c r="S11" s="16"/>
      <c r="T11" s="139"/>
    </row>
    <row r="12" spans="2:24" x14ac:dyDescent="0.3">
      <c r="B12" s="12" t="s">
        <v>28</v>
      </c>
      <c r="C12" s="107">
        <f t="shared" ref="C12:C21" si="8">D12/$C$4</f>
        <v>8.2051282051282051E-2</v>
      </c>
      <c r="D12" s="108">
        <v>40</v>
      </c>
      <c r="E12" s="113">
        <f t="shared" si="1"/>
        <v>0.04</v>
      </c>
      <c r="F12" s="110">
        <f t="shared" si="2"/>
        <v>3.0107526881720434</v>
      </c>
      <c r="G12" s="110">
        <f>(D12/(SUM($D$9:$D$13,$D$15,$D$19))*$D$20)</f>
        <v>0</v>
      </c>
      <c r="H12" s="111">
        <f t="shared" si="3"/>
        <v>43.01075268817204</v>
      </c>
      <c r="I12" s="112">
        <f t="shared" si="4"/>
        <v>47.789725209080046</v>
      </c>
      <c r="J12" s="113">
        <f t="shared" si="5"/>
        <v>4.301075268817204E-2</v>
      </c>
      <c r="K12" s="114">
        <f t="shared" si="7"/>
        <v>47.789725209080046</v>
      </c>
      <c r="M12" s="80" t="s">
        <v>29</v>
      </c>
      <c r="N12" s="13"/>
      <c r="O12" s="14">
        <f>(N12*$C$24)/10^7</f>
        <v>0</v>
      </c>
      <c r="P12" s="3"/>
      <c r="Q12" s="16">
        <f>O15*N12</f>
        <v>0</v>
      </c>
      <c r="R12" s="3"/>
      <c r="S12" s="16">
        <f t="shared" si="6"/>
        <v>0</v>
      </c>
      <c r="T12" s="139"/>
      <c r="U12" s="49"/>
    </row>
    <row r="13" spans="2:24" x14ac:dyDescent="0.3">
      <c r="B13" s="12" t="s">
        <v>105</v>
      </c>
      <c r="C13" s="107">
        <f t="shared" si="8"/>
        <v>6.1538461538461542E-2</v>
      </c>
      <c r="D13" s="108">
        <v>30</v>
      </c>
      <c r="E13" s="113">
        <f t="shared" si="1"/>
        <v>0.03</v>
      </c>
      <c r="F13" s="110">
        <f t="shared" si="2"/>
        <v>2.258064516129032</v>
      </c>
      <c r="G13" s="110">
        <f>(D13/(SUM($D$9:$D$13,$D$15,$D$19))*$D$20)</f>
        <v>0</v>
      </c>
      <c r="H13" s="111">
        <f t="shared" si="3"/>
        <v>32.258064516129032</v>
      </c>
      <c r="I13" s="112">
        <f t="shared" si="4"/>
        <v>35.842293906810035</v>
      </c>
      <c r="J13" s="113">
        <f t="shared" si="5"/>
        <v>3.2258064516129031E-2</v>
      </c>
      <c r="K13" s="114">
        <f t="shared" si="7"/>
        <v>35.842293906810035</v>
      </c>
      <c r="M13" s="80" t="s">
        <v>30</v>
      </c>
      <c r="N13" s="13"/>
      <c r="O13" s="14">
        <f>(N13*$C$24)/10^7</f>
        <v>0</v>
      </c>
      <c r="P13" s="15">
        <f>SUM($I$8:$I$16)*N13</f>
        <v>0</v>
      </c>
      <c r="Q13" s="15">
        <f>$I$17*$N13</f>
        <v>0</v>
      </c>
      <c r="R13" s="15">
        <f>$I$18*$N13</f>
        <v>0</v>
      </c>
      <c r="S13" s="16">
        <f t="shared" si="6"/>
        <v>0</v>
      </c>
      <c r="T13" s="139"/>
      <c r="U13" s="49"/>
    </row>
    <row r="14" spans="2:24" x14ac:dyDescent="0.3">
      <c r="B14" s="12"/>
      <c r="C14" s="107">
        <f t="shared" si="8"/>
        <v>0</v>
      </c>
      <c r="D14" s="108">
        <v>0</v>
      </c>
      <c r="E14" s="113">
        <f t="shared" si="1"/>
        <v>0</v>
      </c>
      <c r="F14" s="110">
        <f t="shared" si="2"/>
        <v>0</v>
      </c>
      <c r="G14" s="110"/>
      <c r="H14" s="111">
        <f t="shared" si="3"/>
        <v>0</v>
      </c>
      <c r="I14" s="112">
        <f t="shared" si="4"/>
        <v>0</v>
      </c>
      <c r="J14" s="113">
        <f t="shared" si="5"/>
        <v>0</v>
      </c>
      <c r="K14" s="114">
        <f t="shared" si="7"/>
        <v>0</v>
      </c>
      <c r="M14" s="80" t="s">
        <v>31</v>
      </c>
      <c r="N14" s="13"/>
      <c r="O14" s="14">
        <f>(N14*$C$24)/10^7</f>
        <v>0</v>
      </c>
      <c r="P14" s="15">
        <f>SUM($I$8:$I$16)*N14</f>
        <v>0</v>
      </c>
      <c r="Q14" s="15">
        <f>$I$17*$N14</f>
        <v>0</v>
      </c>
      <c r="R14" s="15">
        <f>$I$18*$N14</f>
        <v>0</v>
      </c>
      <c r="S14" s="16">
        <f t="shared" si="6"/>
        <v>0</v>
      </c>
      <c r="T14" s="139"/>
      <c r="U14" s="49"/>
    </row>
    <row r="15" spans="2:24" x14ac:dyDescent="0.3">
      <c r="B15" s="12" t="s">
        <v>32</v>
      </c>
      <c r="C15" s="107">
        <f t="shared" si="8"/>
        <v>0.1641025641025641</v>
      </c>
      <c r="D15" s="108">
        <v>80</v>
      </c>
      <c r="E15" s="113">
        <f t="shared" si="1"/>
        <v>0.08</v>
      </c>
      <c r="F15" s="110">
        <f t="shared" si="2"/>
        <v>6.0215053763440869</v>
      </c>
      <c r="G15" s="110">
        <f>(D15/(SUM($D$9:$D$13,$D$15,$D$19))*$D$20)</f>
        <v>0</v>
      </c>
      <c r="H15" s="111">
        <f t="shared" si="3"/>
        <v>86.021505376344081</v>
      </c>
      <c r="I15" s="112">
        <f t="shared" si="4"/>
        <v>95.579450418160093</v>
      </c>
      <c r="J15" s="113">
        <f t="shared" si="5"/>
        <v>8.6021505376344079E-2</v>
      </c>
      <c r="K15" s="114">
        <f t="shared" si="7"/>
        <v>95.579450418160093</v>
      </c>
      <c r="M15" s="81" t="s">
        <v>8</v>
      </c>
      <c r="N15" s="19">
        <f>SUM(N6:N14)</f>
        <v>1.2999999999999998</v>
      </c>
      <c r="O15" s="20">
        <f>SUM(O6:O14)</f>
        <v>2.9629629629629629E-7</v>
      </c>
      <c r="P15" s="21">
        <f>SUM(P6:P14)</f>
        <v>893.07048984468327</v>
      </c>
      <c r="Q15" s="21">
        <f>SUM(Q6:Q14)</f>
        <v>0</v>
      </c>
      <c r="R15" s="21">
        <f>SUM(R6:R14)</f>
        <v>4.4444444444444441E-8</v>
      </c>
      <c r="S15" s="22">
        <f t="shared" si="6"/>
        <v>893.07048959283134</v>
      </c>
      <c r="T15" s="139"/>
      <c r="U15" s="49"/>
    </row>
    <row r="16" spans="2:24" x14ac:dyDescent="0.3">
      <c r="B16" s="115"/>
      <c r="C16" s="107">
        <f t="shared" si="8"/>
        <v>0</v>
      </c>
      <c r="D16" s="108">
        <v>0</v>
      </c>
      <c r="E16" s="113">
        <f t="shared" si="1"/>
        <v>0</v>
      </c>
      <c r="F16" s="110">
        <f t="shared" si="2"/>
        <v>0</v>
      </c>
      <c r="G16" s="110"/>
      <c r="H16" s="111">
        <f t="shared" si="3"/>
        <v>0</v>
      </c>
      <c r="I16" s="112">
        <f t="shared" si="4"/>
        <v>0</v>
      </c>
      <c r="J16" s="113">
        <f t="shared" si="5"/>
        <v>0</v>
      </c>
      <c r="K16" s="114">
        <f t="shared" si="7"/>
        <v>0</v>
      </c>
      <c r="P16" s="23">
        <f>P15/$O$15</f>
        <v>3014112903.2258062</v>
      </c>
      <c r="Q16" s="23">
        <f>Q15/$O$15</f>
        <v>0</v>
      </c>
      <c r="R16" s="23">
        <f>R15/$O$15</f>
        <v>0.15</v>
      </c>
      <c r="T16" s="139"/>
      <c r="U16" s="49"/>
    </row>
    <row r="17" spans="2:21" x14ac:dyDescent="0.3">
      <c r="B17" s="12" t="s">
        <v>23</v>
      </c>
      <c r="C17" s="107">
        <f t="shared" si="8"/>
        <v>2.0512820512820513E-2</v>
      </c>
      <c r="D17" s="108">
        <v>10</v>
      </c>
      <c r="E17" s="113">
        <f t="shared" si="1"/>
        <v>0.01</v>
      </c>
      <c r="F17" s="110">
        <f t="shared" si="2"/>
        <v>0.75268817204301086</v>
      </c>
      <c r="G17" s="110"/>
      <c r="H17" s="111">
        <f t="shared" si="3"/>
        <v>10.75268817204301</v>
      </c>
      <c r="I17" s="112">
        <f t="shared" si="4"/>
        <v>11.947431302270012</v>
      </c>
      <c r="J17" s="113">
        <f t="shared" si="5"/>
        <v>1.075268817204301E-2</v>
      </c>
      <c r="K17" s="114">
        <f t="shared" si="7"/>
        <v>11.947431302270012</v>
      </c>
      <c r="U17" s="49"/>
    </row>
    <row r="18" spans="2:21" x14ac:dyDescent="0.3">
      <c r="B18" s="12" t="s">
        <v>9</v>
      </c>
      <c r="C18" s="107">
        <f t="shared" si="8"/>
        <v>0.22564102564102564</v>
      </c>
      <c r="D18" s="108">
        <v>110</v>
      </c>
      <c r="E18" s="113">
        <f t="shared" si="1"/>
        <v>0.11</v>
      </c>
      <c r="F18" s="110">
        <f t="shared" si="2"/>
        <v>8.279569892473118</v>
      </c>
      <c r="G18" s="110"/>
      <c r="H18" s="111">
        <f t="shared" si="3"/>
        <v>118.27956989247312</v>
      </c>
      <c r="I18" s="112">
        <f t="shared" si="4"/>
        <v>131.42174432497012</v>
      </c>
      <c r="J18" s="113">
        <f t="shared" si="5"/>
        <v>0.11827956989247311</v>
      </c>
      <c r="K18" s="114">
        <f t="shared" si="7"/>
        <v>131.42174432497012</v>
      </c>
      <c r="T18" s="139"/>
      <c r="U18" s="49"/>
    </row>
    <row r="19" spans="2:21" x14ac:dyDescent="0.3">
      <c r="B19" s="12" t="s">
        <v>51</v>
      </c>
      <c r="C19" s="107">
        <f t="shared" si="8"/>
        <v>0</v>
      </c>
      <c r="D19" s="108">
        <v>0</v>
      </c>
      <c r="E19" s="113">
        <f t="shared" si="1"/>
        <v>0</v>
      </c>
      <c r="F19" s="110">
        <f t="shared" si="2"/>
        <v>0</v>
      </c>
      <c r="G19" s="110">
        <f>(D19/(SUM($D$9:$D$13,$D$15,$D$19))*$D$20)</f>
        <v>0</v>
      </c>
      <c r="H19" s="111">
        <f t="shared" si="3"/>
        <v>0</v>
      </c>
      <c r="I19" s="112">
        <f t="shared" si="4"/>
        <v>0</v>
      </c>
      <c r="J19" s="113">
        <f t="shared" si="5"/>
        <v>0</v>
      </c>
      <c r="K19" s="114">
        <f t="shared" si="7"/>
        <v>0</v>
      </c>
      <c r="T19" s="139"/>
      <c r="U19" s="49"/>
    </row>
    <row r="20" spans="2:21" x14ac:dyDescent="0.3">
      <c r="B20" s="12" t="s">
        <v>52</v>
      </c>
      <c r="C20" s="107">
        <f t="shared" si="8"/>
        <v>0</v>
      </c>
      <c r="D20" s="108">
        <v>0</v>
      </c>
      <c r="E20" s="113">
        <f t="shared" si="1"/>
        <v>0</v>
      </c>
      <c r="F20" s="110"/>
      <c r="G20" s="110"/>
      <c r="H20" s="111"/>
      <c r="I20" s="112"/>
      <c r="J20" s="113"/>
      <c r="K20" s="114"/>
      <c r="T20" s="139"/>
    </row>
    <row r="21" spans="2:21" x14ac:dyDescent="0.3">
      <c r="B21" s="12" t="s">
        <v>50</v>
      </c>
      <c r="C21" s="107">
        <f t="shared" si="8"/>
        <v>0.14358974358974358</v>
      </c>
      <c r="D21" s="108">
        <v>70</v>
      </c>
      <c r="E21" s="113">
        <f t="shared" si="1"/>
        <v>7.0000000000000007E-2</v>
      </c>
      <c r="F21" s="110"/>
      <c r="G21" s="116"/>
      <c r="H21" s="117"/>
      <c r="I21" s="116"/>
      <c r="J21" s="113"/>
      <c r="K21" s="113"/>
      <c r="T21" s="139"/>
    </row>
    <row r="22" spans="2:21" x14ac:dyDescent="0.3">
      <c r="B22" s="118" t="s">
        <v>33</v>
      </c>
      <c r="C22" s="119">
        <f t="shared" ref="C22:K22" si="9">SUM(C6:C21)</f>
        <v>2.0512820512820511</v>
      </c>
      <c r="D22" s="120">
        <f t="shared" si="9"/>
        <v>1000</v>
      </c>
      <c r="E22" s="113">
        <f t="shared" si="9"/>
        <v>1.0000000000000002</v>
      </c>
      <c r="F22" s="120">
        <f t="shared" si="9"/>
        <v>70</v>
      </c>
      <c r="G22" s="120">
        <f t="shared" si="9"/>
        <v>0</v>
      </c>
      <c r="H22" s="120">
        <f t="shared" si="9"/>
        <v>1000</v>
      </c>
      <c r="I22" s="120">
        <f t="shared" si="9"/>
        <v>1111.1111111111111</v>
      </c>
      <c r="J22" s="113">
        <f t="shared" si="9"/>
        <v>1</v>
      </c>
      <c r="K22" s="120">
        <f t="shared" si="9"/>
        <v>1111.1111111111111</v>
      </c>
      <c r="T22" s="33"/>
    </row>
    <row r="23" spans="2:21" x14ac:dyDescent="0.3">
      <c r="B23" s="12" t="s">
        <v>64</v>
      </c>
      <c r="C23" s="121">
        <v>0.1</v>
      </c>
      <c r="D23" s="121">
        <v>0.1</v>
      </c>
      <c r="E23" s="122"/>
    </row>
    <row r="24" spans="2:21" x14ac:dyDescent="0.3">
      <c r="B24" s="12" t="s">
        <v>34</v>
      </c>
      <c r="C24" s="124">
        <f>C22/(1-C23)</f>
        <v>2.2792022792022788</v>
      </c>
      <c r="D24" s="51">
        <f>D22/(1-D23)</f>
        <v>1111.1111111111111</v>
      </c>
      <c r="F24" s="138"/>
      <c r="G24" s="75"/>
      <c r="H24" s="125"/>
      <c r="I24" s="75"/>
      <c r="J24" s="123"/>
    </row>
    <row r="25" spans="2:21" x14ac:dyDescent="0.3">
      <c r="B25" s="12" t="s">
        <v>35</v>
      </c>
      <c r="C25" s="124">
        <f>C24-C22</f>
        <v>0.2279202279202277</v>
      </c>
      <c r="D25" s="126">
        <f>D24-D22</f>
        <v>111.11111111111109</v>
      </c>
      <c r="I25" s="75"/>
      <c r="J25" s="123"/>
    </row>
    <row r="26" spans="2:21" x14ac:dyDescent="0.3">
      <c r="J26" s="76"/>
    </row>
    <row r="27" spans="2:21" x14ac:dyDescent="0.3">
      <c r="B27" s="69"/>
      <c r="C27" s="70"/>
      <c r="F27" s="123"/>
      <c r="G27" s="105"/>
      <c r="I27" s="94"/>
    </row>
    <row r="28" spans="2:21" x14ac:dyDescent="0.3">
      <c r="B28" s="71"/>
      <c r="C28" s="72"/>
      <c r="F28" s="123"/>
      <c r="G28" s="123"/>
    </row>
    <row r="29" spans="2:21" x14ac:dyDescent="0.3">
      <c r="B29" s="71"/>
      <c r="C29" s="72"/>
      <c r="F29" s="123"/>
      <c r="G29" s="123"/>
    </row>
    <row r="30" spans="2:21" x14ac:dyDescent="0.3">
      <c r="C30" s="68"/>
      <c r="F30" s="123"/>
      <c r="G30" s="123"/>
    </row>
    <row r="31" spans="2:21" x14ac:dyDescent="0.3">
      <c r="B31" s="71"/>
      <c r="G31" s="93"/>
    </row>
    <row r="32" spans="2:21" x14ac:dyDescent="0.3">
      <c r="B32" s="71"/>
      <c r="C32" s="94"/>
    </row>
    <row r="33" spans="2:6" x14ac:dyDescent="0.3">
      <c r="B33" s="71"/>
      <c r="C33" s="94"/>
    </row>
    <row r="34" spans="2:6" x14ac:dyDescent="0.3">
      <c r="B34" s="71"/>
    </row>
    <row r="35" spans="2:6" x14ac:dyDescent="0.3">
      <c r="B35" s="71"/>
      <c r="C35" s="94"/>
    </row>
    <row r="36" spans="2:6" x14ac:dyDescent="0.3">
      <c r="B36" s="71"/>
    </row>
    <row r="37" spans="2:6" x14ac:dyDescent="0.3">
      <c r="B37" s="71"/>
      <c r="C37" s="95"/>
    </row>
    <row r="43" spans="2:6" x14ac:dyDescent="0.3">
      <c r="E43" s="49"/>
      <c r="F43" s="73"/>
    </row>
    <row r="44" spans="2:6" x14ac:dyDescent="0.3">
      <c r="C44" s="94"/>
      <c r="E44" s="49"/>
    </row>
    <row r="45" spans="2:6" x14ac:dyDescent="0.3">
      <c r="C45" s="94"/>
      <c r="F45" s="74"/>
    </row>
    <row r="46" spans="2:6" x14ac:dyDescent="0.3">
      <c r="C46" s="94"/>
    </row>
    <row r="47" spans="2:6" x14ac:dyDescent="0.3">
      <c r="C47" s="94"/>
    </row>
    <row r="48" spans="2:6" x14ac:dyDescent="0.3">
      <c r="C48" s="94"/>
    </row>
    <row r="49" spans="3:3" x14ac:dyDescent="0.3">
      <c r="C49" s="94"/>
    </row>
    <row r="50" spans="3:3" x14ac:dyDescent="0.3">
      <c r="C50" s="94"/>
    </row>
    <row r="51" spans="3:3" x14ac:dyDescent="0.3">
      <c r="C51" s="94"/>
    </row>
    <row r="52" spans="3:3" x14ac:dyDescent="0.3">
      <c r="C52" s="94"/>
    </row>
    <row r="53" spans="3:3" x14ac:dyDescent="0.3">
      <c r="C53" s="94"/>
    </row>
  </sheetData>
  <pageMargins left="0.7" right="0.7" top="0.75" bottom="0.75" header="0.3" footer="0.3"/>
  <pageSetup paperSize="9" orientation="portrait" r:id="rId1"/>
  <headerFooter>
    <oddFooter>&amp;L&amp;1#&amp;"Calibri"&amp;8&amp;K000000Sensitivity: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146E-8010-4733-85E6-88C0582C6CBC}">
  <dimension ref="A2:BA77"/>
  <sheetViews>
    <sheetView zoomScale="85" zoomScaleNormal="85" workbookViewId="0">
      <pane xSplit="3" ySplit="4" topLeftCell="D5" activePane="bottomRight" state="frozen"/>
      <selection activeCell="C14" sqref="C14"/>
      <selection pane="topRight" activeCell="C14" sqref="C14"/>
      <selection pane="bottomLeft" activeCell="C14" sqref="C14"/>
      <selection pane="bottomRight" activeCell="R7" sqref="R7"/>
    </sheetView>
  </sheetViews>
  <sheetFormatPr defaultRowHeight="14.4" x14ac:dyDescent="0.3"/>
  <cols>
    <col min="1" max="1" width="5.21875" customWidth="1"/>
    <col min="2" max="2" width="20.77734375" bestFit="1" customWidth="1"/>
    <col min="3" max="3" width="10.21875" bestFit="1" customWidth="1"/>
    <col min="4" max="4" width="9.77734375" bestFit="1" customWidth="1"/>
    <col min="5" max="12" width="9" bestFit="1" customWidth="1"/>
    <col min="13" max="13" width="9" customWidth="1"/>
    <col min="14" max="20" width="9" bestFit="1" customWidth="1"/>
    <col min="21" max="28" width="9" customWidth="1"/>
    <col min="29" max="29" width="9" bestFit="1" customWidth="1"/>
    <col min="30" max="44" width="9" hidden="1" customWidth="1"/>
    <col min="45" max="45" width="3" customWidth="1"/>
    <col min="46" max="46" width="9.21875" bestFit="1" customWidth="1"/>
    <col min="47" max="47" width="9.77734375" bestFit="1" customWidth="1"/>
    <col min="48" max="48" width="3.21875" customWidth="1"/>
    <col min="49" max="49" width="71.77734375" bestFit="1" customWidth="1"/>
    <col min="50" max="50" width="18.77734375" customWidth="1"/>
    <col min="51" max="51" width="9.5546875" bestFit="1" customWidth="1"/>
  </cols>
  <sheetData>
    <row r="2" spans="2:53" x14ac:dyDescent="0.3">
      <c r="O2" s="25"/>
      <c r="R2" s="25"/>
      <c r="T2" t="s">
        <v>111</v>
      </c>
      <c r="U2" t="s">
        <v>112</v>
      </c>
      <c r="X2" t="s">
        <v>110</v>
      </c>
      <c r="AL2" s="25"/>
    </row>
    <row r="3" spans="2:53" x14ac:dyDescent="0.3">
      <c r="B3" s="26" t="s">
        <v>36</v>
      </c>
      <c r="C3" s="27" t="s">
        <v>37</v>
      </c>
      <c r="D3" s="28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28">
        <v>11</v>
      </c>
      <c r="O3" s="28">
        <v>12</v>
      </c>
      <c r="P3" s="28">
        <v>13</v>
      </c>
      <c r="Q3" s="28">
        <v>14</v>
      </c>
      <c r="R3" s="28">
        <v>15</v>
      </c>
      <c r="S3" s="28">
        <v>16</v>
      </c>
      <c r="T3" s="28">
        <v>17</v>
      </c>
      <c r="U3" s="28">
        <v>18</v>
      </c>
      <c r="V3" s="28">
        <v>19</v>
      </c>
      <c r="W3" s="28">
        <f>V3+1</f>
        <v>20</v>
      </c>
      <c r="X3" s="28">
        <f t="shared" ref="X3" si="0">W3+1</f>
        <v>21</v>
      </c>
      <c r="Y3" s="28">
        <v>22</v>
      </c>
      <c r="Z3" s="28">
        <v>23</v>
      </c>
      <c r="AA3" s="28">
        <f t="shared" ref="AA3" si="1">Z3+1</f>
        <v>24</v>
      </c>
      <c r="AB3" s="28">
        <f t="shared" ref="AB3" si="2">AA3+1</f>
        <v>25</v>
      </c>
      <c r="AC3" s="28">
        <v>26</v>
      </c>
      <c r="AD3" s="28">
        <v>19</v>
      </c>
      <c r="AE3" s="28">
        <v>20</v>
      </c>
      <c r="AF3" s="28">
        <v>21</v>
      </c>
      <c r="AG3" s="28">
        <v>22</v>
      </c>
      <c r="AH3" s="28">
        <v>23</v>
      </c>
      <c r="AI3" s="28">
        <v>24</v>
      </c>
      <c r="AJ3" s="28">
        <v>25</v>
      </c>
      <c r="AK3" s="28">
        <v>26</v>
      </c>
      <c r="AL3" s="28">
        <v>27</v>
      </c>
      <c r="AM3" s="28">
        <v>28</v>
      </c>
      <c r="AN3" s="28">
        <v>29</v>
      </c>
      <c r="AO3" s="28">
        <v>30</v>
      </c>
      <c r="AP3" s="28">
        <v>31</v>
      </c>
      <c r="AQ3" s="28">
        <v>32</v>
      </c>
      <c r="AR3" s="28">
        <v>33</v>
      </c>
    </row>
    <row r="4" spans="2:53" s="1" customFormat="1" ht="39.450000000000003" customHeight="1" x14ac:dyDescent="0.3">
      <c r="B4" s="9" t="s">
        <v>11</v>
      </c>
      <c r="C4" s="11" t="s">
        <v>38</v>
      </c>
      <c r="D4" s="29">
        <v>45536</v>
      </c>
      <c r="E4" s="29">
        <v>45566</v>
      </c>
      <c r="F4" s="29">
        <v>45597</v>
      </c>
      <c r="G4" s="29">
        <v>45627</v>
      </c>
      <c r="H4" s="29">
        <v>45658</v>
      </c>
      <c r="I4" s="29">
        <v>45689</v>
      </c>
      <c r="J4" s="29">
        <v>45717</v>
      </c>
      <c r="K4" s="29">
        <v>45748</v>
      </c>
      <c r="L4" s="29">
        <v>45778</v>
      </c>
      <c r="M4" s="29">
        <v>45809</v>
      </c>
      <c r="N4" s="29">
        <v>45839</v>
      </c>
      <c r="O4" s="29">
        <v>45870</v>
      </c>
      <c r="P4" s="29">
        <v>45901</v>
      </c>
      <c r="Q4" s="29">
        <v>45931</v>
      </c>
      <c r="R4" s="29">
        <v>45962</v>
      </c>
      <c r="S4" s="29">
        <v>45992</v>
      </c>
      <c r="T4" s="29">
        <v>46023</v>
      </c>
      <c r="U4" s="29">
        <v>46054</v>
      </c>
      <c r="V4" s="29">
        <v>46082</v>
      </c>
      <c r="W4" s="29">
        <v>46113</v>
      </c>
      <c r="X4" s="29">
        <v>46143</v>
      </c>
      <c r="Y4" s="29">
        <v>46174</v>
      </c>
      <c r="Z4" s="29">
        <v>46204</v>
      </c>
      <c r="AA4" s="29">
        <v>46235</v>
      </c>
      <c r="AB4" s="29">
        <v>46266</v>
      </c>
      <c r="AC4" s="29">
        <v>46296</v>
      </c>
      <c r="AD4" s="29">
        <v>46327</v>
      </c>
      <c r="AE4" s="29">
        <v>46357</v>
      </c>
      <c r="AF4" s="29">
        <v>46388</v>
      </c>
      <c r="AG4" s="29">
        <v>46419</v>
      </c>
      <c r="AH4" s="29">
        <v>46447</v>
      </c>
      <c r="AI4" s="29">
        <v>46478</v>
      </c>
      <c r="AJ4" s="29">
        <v>46508</v>
      </c>
      <c r="AK4" s="29">
        <v>46539</v>
      </c>
      <c r="AL4" s="29">
        <v>46569</v>
      </c>
      <c r="AM4" s="29">
        <v>46600</v>
      </c>
      <c r="AN4" s="29">
        <v>46631</v>
      </c>
      <c r="AO4" s="29">
        <v>46661</v>
      </c>
      <c r="AP4" s="29">
        <v>46692</v>
      </c>
      <c r="AQ4" s="29">
        <v>46722</v>
      </c>
      <c r="AR4" s="29">
        <v>46753</v>
      </c>
      <c r="AT4" s="9" t="s">
        <v>8</v>
      </c>
      <c r="AU4" s="9" t="s">
        <v>6</v>
      </c>
      <c r="AW4" s="11" t="s">
        <v>39</v>
      </c>
      <c r="AX4" s="2" t="s">
        <v>54</v>
      </c>
    </row>
    <row r="5" spans="2:53" x14ac:dyDescent="0.3">
      <c r="B5" s="12" t="str">
        <f>'Inputs for CF'!B6</f>
        <v>Cell</v>
      </c>
      <c r="C5" s="53">
        <f>'Inputs for CF'!$D6</f>
        <v>100</v>
      </c>
      <c r="D5" s="58"/>
      <c r="E5" s="58"/>
      <c r="F5" s="58"/>
      <c r="G5" s="127"/>
      <c r="H5" s="128"/>
      <c r="I5" s="129"/>
      <c r="J5" s="127"/>
      <c r="K5" s="129"/>
      <c r="L5" s="127">
        <f>$C5/$AX5</f>
        <v>33.333333333333336</v>
      </c>
      <c r="M5" s="129"/>
      <c r="N5" s="127">
        <f>$C5/$AX5</f>
        <v>33.333333333333336</v>
      </c>
      <c r="O5" s="127"/>
      <c r="P5" s="127">
        <f>$C5/$AX5</f>
        <v>33.333333333333336</v>
      </c>
      <c r="Q5" s="130"/>
      <c r="R5" s="127"/>
      <c r="S5" s="130"/>
      <c r="T5" s="130"/>
      <c r="U5" s="130"/>
      <c r="V5" s="130"/>
      <c r="W5" s="130"/>
      <c r="X5" s="127"/>
      <c r="Y5" s="127"/>
      <c r="Z5" s="127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T5" s="57">
        <f>SUM(D5:AR5)</f>
        <v>100</v>
      </c>
      <c r="AU5" s="56">
        <f t="shared" ref="AU5:AU20" si="3">AT5-C5</f>
        <v>0</v>
      </c>
      <c r="AW5" s="28" t="s">
        <v>40</v>
      </c>
      <c r="AX5" s="28">
        <v>3</v>
      </c>
      <c r="BA5" s="68"/>
    </row>
    <row r="6" spans="2:53" x14ac:dyDescent="0.3">
      <c r="B6" s="12" t="str">
        <f>'Inputs for CF'!B7</f>
        <v>BCD</v>
      </c>
      <c r="C6" s="53">
        <f>'Inputs for CF'!$D7</f>
        <v>60</v>
      </c>
      <c r="D6" s="58"/>
      <c r="E6" s="58"/>
      <c r="F6" s="58"/>
      <c r="G6" s="127"/>
      <c r="H6" s="136"/>
      <c r="I6" s="129">
        <f>$C6/$AX6</f>
        <v>20</v>
      </c>
      <c r="J6" s="127"/>
      <c r="K6" s="129">
        <f>$C6/$AX6</f>
        <v>20</v>
      </c>
      <c r="L6" s="127"/>
      <c r="M6" s="129">
        <f>$C6/$AX6</f>
        <v>20</v>
      </c>
      <c r="N6" s="127"/>
      <c r="O6" s="127"/>
      <c r="P6" s="127"/>
      <c r="Q6" s="130"/>
      <c r="R6" s="130"/>
      <c r="S6" s="130"/>
      <c r="T6" s="130"/>
      <c r="U6" s="130"/>
      <c r="V6" s="130"/>
      <c r="W6" s="130"/>
      <c r="X6" s="127"/>
      <c r="Y6" s="127"/>
      <c r="Z6" s="127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T6" s="57">
        <f>SUM(D6:AR6)</f>
        <v>60</v>
      </c>
      <c r="AU6" s="56">
        <f t="shared" si="3"/>
        <v>0</v>
      </c>
      <c r="AW6" s="28" t="s">
        <v>109</v>
      </c>
      <c r="AX6" s="28">
        <v>3</v>
      </c>
      <c r="BA6" s="68"/>
    </row>
    <row r="7" spans="2:53" x14ac:dyDescent="0.3">
      <c r="B7" s="12" t="str">
        <f>'Inputs for CF'!B8</f>
        <v>Cell Tolling - Module</v>
      </c>
      <c r="C7" s="53">
        <f>'Inputs for CF'!D8</f>
        <v>400</v>
      </c>
      <c r="D7" s="58"/>
      <c r="E7" s="58"/>
      <c r="F7" s="58"/>
      <c r="G7" s="127"/>
      <c r="H7" s="128"/>
      <c r="I7" s="127"/>
      <c r="J7" s="1"/>
      <c r="K7" s="131"/>
      <c r="L7" s="131"/>
      <c r="M7" s="131"/>
      <c r="N7" s="131"/>
      <c r="O7" s="131"/>
      <c r="P7" s="131"/>
      <c r="Q7" s="140">
        <f>$C$7/$AX$7*0.8</f>
        <v>45.714285714285722</v>
      </c>
      <c r="R7" s="130">
        <f t="shared" ref="R7:W7" si="4">$C$7/$AX$7</f>
        <v>57.142857142857146</v>
      </c>
      <c r="S7" s="130">
        <f t="shared" si="4"/>
        <v>57.142857142857146</v>
      </c>
      <c r="T7" s="130">
        <f t="shared" si="4"/>
        <v>57.142857142857146</v>
      </c>
      <c r="U7" s="130">
        <f t="shared" si="4"/>
        <v>57.142857142857146</v>
      </c>
      <c r="V7" s="130">
        <f t="shared" si="4"/>
        <v>57.142857142857146</v>
      </c>
      <c r="W7" s="130">
        <f t="shared" si="4"/>
        <v>57.142857142857146</v>
      </c>
      <c r="X7" s="141">
        <f>$C$7/$AX$7*0.15</f>
        <v>8.5714285714285712</v>
      </c>
      <c r="Y7" s="141">
        <f>$C$7/$AX$7*0.05</f>
        <v>2.8571428571428577</v>
      </c>
      <c r="Z7" s="130"/>
      <c r="AA7" s="90"/>
      <c r="AB7" s="9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T7" s="57">
        <f t="shared" ref="AT7:AT20" si="5">SUM(D7:AR7)</f>
        <v>400</v>
      </c>
      <c r="AU7" s="56">
        <f t="shared" si="3"/>
        <v>0</v>
      </c>
      <c r="AW7" s="28" t="s">
        <v>62</v>
      </c>
      <c r="AX7" s="28">
        <v>7</v>
      </c>
      <c r="BA7" s="68"/>
    </row>
    <row r="8" spans="2:53" x14ac:dyDescent="0.3">
      <c r="B8" s="12" t="str">
        <f>'Inputs for CF'!B9</f>
        <v>Inverter</v>
      </c>
      <c r="C8" s="53">
        <f>'Inputs for CF'!D9</f>
        <v>40</v>
      </c>
      <c r="D8" s="58"/>
      <c r="E8" s="58"/>
      <c r="F8" s="58"/>
      <c r="G8" s="132"/>
      <c r="H8" s="127"/>
      <c r="I8" s="127"/>
      <c r="J8" s="131"/>
      <c r="K8" s="131"/>
      <c r="L8" s="131"/>
      <c r="M8" s="129">
        <f>($C$8)/$AX$8</f>
        <v>8</v>
      </c>
      <c r="N8" s="129">
        <f>($C$8)/$AX$8</f>
        <v>8</v>
      </c>
      <c r="O8" s="127">
        <f>($C$8)/$AX$8</f>
        <v>8</v>
      </c>
      <c r="P8" s="127">
        <f>($C$8)/$AX$8</f>
        <v>8</v>
      </c>
      <c r="Q8" s="132">
        <f>($C$8)/$AX$8</f>
        <v>8</v>
      </c>
      <c r="R8" s="132"/>
      <c r="S8" s="132"/>
      <c r="T8" s="130"/>
      <c r="U8" s="130"/>
      <c r="V8" s="130"/>
      <c r="W8" s="127"/>
      <c r="X8" s="127"/>
      <c r="Y8" s="127"/>
      <c r="Z8" s="127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T8" s="57">
        <f t="shared" si="5"/>
        <v>40</v>
      </c>
      <c r="AU8" s="56">
        <f t="shared" si="3"/>
        <v>0</v>
      </c>
      <c r="AW8" s="28" t="s">
        <v>100</v>
      </c>
      <c r="AX8" s="28">
        <v>5</v>
      </c>
    </row>
    <row r="9" spans="2:53" x14ac:dyDescent="0.3">
      <c r="B9" s="12" t="str">
        <f>'Inputs for CF'!B10</f>
        <v>MMS - Tracker</v>
      </c>
      <c r="C9" s="53">
        <f>'Inputs for CF'!D10</f>
        <v>60</v>
      </c>
      <c r="D9" s="58"/>
      <c r="E9" s="58"/>
      <c r="F9" s="58"/>
      <c r="G9" s="132"/>
      <c r="H9" s="133"/>
      <c r="I9" s="133"/>
      <c r="J9" s="133">
        <f>($C$9)/$AX$9</f>
        <v>10</v>
      </c>
      <c r="K9" s="133">
        <f>($C$9)/$AX$9</f>
        <v>10</v>
      </c>
      <c r="L9" s="133">
        <f>($C$9)/$AX$9</f>
        <v>10</v>
      </c>
      <c r="M9" s="133">
        <f>($C$9)/$AX$9</f>
        <v>10</v>
      </c>
      <c r="N9" s="134">
        <f>($C$9)/$AX$9</f>
        <v>10</v>
      </c>
      <c r="O9" s="134">
        <f t="shared" ref="O9" si="6">($C$9)/$AX$9</f>
        <v>10</v>
      </c>
      <c r="P9" s="134"/>
      <c r="Q9" s="134"/>
      <c r="R9" s="134"/>
      <c r="S9" s="1"/>
      <c r="T9" s="130"/>
      <c r="U9" s="135"/>
      <c r="V9" s="135"/>
      <c r="W9" s="132"/>
      <c r="X9" s="127"/>
      <c r="Y9" s="127"/>
      <c r="Z9" s="127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T9" s="57">
        <f t="shared" si="5"/>
        <v>60</v>
      </c>
      <c r="AU9" s="56">
        <f t="shared" si="3"/>
        <v>0</v>
      </c>
      <c r="AW9" s="28" t="s">
        <v>41</v>
      </c>
      <c r="AX9" s="28">
        <v>6</v>
      </c>
    </row>
    <row r="10" spans="2:53" x14ac:dyDescent="0.3">
      <c r="B10" s="12" t="str">
        <f>'Inputs for CF'!B11</f>
        <v>Power Transformer</v>
      </c>
      <c r="C10" s="132">
        <f>'Inputs for CF'!D11</f>
        <v>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T10" s="57">
        <f t="shared" si="5"/>
        <v>0</v>
      </c>
      <c r="AU10" s="56">
        <f t="shared" si="3"/>
        <v>0</v>
      </c>
      <c r="AW10" s="28" t="s">
        <v>40</v>
      </c>
      <c r="AX10" s="28">
        <v>2</v>
      </c>
    </row>
    <row r="11" spans="2:53" x14ac:dyDescent="0.3">
      <c r="B11" s="12" t="str">
        <f>'Inputs for CF'!B12</f>
        <v>Cables</v>
      </c>
      <c r="C11" s="53">
        <f>'Inputs for CF'!D12</f>
        <v>40</v>
      </c>
      <c r="D11" s="58"/>
      <c r="E11" s="58"/>
      <c r="F11" s="58"/>
      <c r="G11" s="127"/>
      <c r="H11" s="1"/>
      <c r="I11" s="131"/>
      <c r="J11" s="131"/>
      <c r="K11" s="131"/>
      <c r="L11" s="131">
        <f t="shared" ref="L11:R11" si="7">$C11/$AX11</f>
        <v>5.7142857142857144</v>
      </c>
      <c r="M11" s="131">
        <f t="shared" si="7"/>
        <v>5.7142857142857144</v>
      </c>
      <c r="N11" s="131">
        <f t="shared" si="7"/>
        <v>5.7142857142857144</v>
      </c>
      <c r="O11" s="131">
        <f t="shared" si="7"/>
        <v>5.7142857142857144</v>
      </c>
      <c r="P11" s="132">
        <f t="shared" si="7"/>
        <v>5.7142857142857144</v>
      </c>
      <c r="Q11" s="132">
        <f t="shared" si="7"/>
        <v>5.7142857142857144</v>
      </c>
      <c r="R11" s="132">
        <f t="shared" si="7"/>
        <v>5.7142857142857144</v>
      </c>
      <c r="S11" s="132"/>
      <c r="T11" s="132"/>
      <c r="U11" s="135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T11" s="57">
        <f t="shared" si="5"/>
        <v>40</v>
      </c>
      <c r="AU11" s="56">
        <f t="shared" si="3"/>
        <v>0</v>
      </c>
      <c r="AW11" s="28" t="s">
        <v>40</v>
      </c>
      <c r="AX11" s="28">
        <v>7</v>
      </c>
    </row>
    <row r="12" spans="2:53" x14ac:dyDescent="0.3">
      <c r="B12" s="12" t="str">
        <f>'Inputs for CF'!B13</f>
        <v>IDT</v>
      </c>
      <c r="C12" s="53">
        <f>'Inputs for CF'!D13</f>
        <v>30</v>
      </c>
      <c r="D12" s="58"/>
      <c r="E12" s="58"/>
      <c r="F12" s="58"/>
      <c r="G12" s="127"/>
      <c r="H12" s="130"/>
      <c r="I12" s="130"/>
      <c r="J12" s="131"/>
      <c r="K12" s="131"/>
      <c r="L12" s="131"/>
      <c r="M12" s="137">
        <f>$C12/$AX12</f>
        <v>6</v>
      </c>
      <c r="N12" s="137">
        <f>$C12/$AX12</f>
        <v>6</v>
      </c>
      <c r="O12" s="132">
        <f>$C12/$AX12</f>
        <v>6</v>
      </c>
      <c r="P12" s="132">
        <f>$C12/$AX12</f>
        <v>6</v>
      </c>
      <c r="Q12" s="132">
        <f>$C12/$AX12</f>
        <v>6</v>
      </c>
      <c r="R12" s="132"/>
      <c r="S12" s="132"/>
      <c r="T12" s="132"/>
      <c r="U12" s="135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T12" s="57">
        <f t="shared" si="5"/>
        <v>30</v>
      </c>
      <c r="AU12" s="56">
        <f t="shared" si="3"/>
        <v>0</v>
      </c>
      <c r="AW12" s="28" t="s">
        <v>40</v>
      </c>
      <c r="AX12" s="28">
        <v>5</v>
      </c>
    </row>
    <row r="13" spans="2:53" x14ac:dyDescent="0.3">
      <c r="B13" s="12">
        <f>'Inputs for CF'!B14</f>
        <v>0</v>
      </c>
      <c r="C13" s="53">
        <f>'Inputs for CF'!D14</f>
        <v>0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T13" s="57">
        <f t="shared" si="5"/>
        <v>0</v>
      </c>
      <c r="AU13" s="56">
        <f t="shared" si="3"/>
        <v>0</v>
      </c>
      <c r="AW13" s="28" t="s">
        <v>41</v>
      </c>
      <c r="AX13" s="28">
        <v>3</v>
      </c>
    </row>
    <row r="14" spans="2:53" x14ac:dyDescent="0.3">
      <c r="B14" s="12" t="str">
        <f>'Inputs for CF'!B15</f>
        <v>Other Supply</v>
      </c>
      <c r="C14" s="53">
        <f>'Inputs for CF'!D15</f>
        <v>80</v>
      </c>
      <c r="D14" s="58"/>
      <c r="E14" s="58"/>
      <c r="F14" s="58"/>
      <c r="G14" s="58"/>
      <c r="H14" s="59"/>
      <c r="I14" s="59">
        <f>$C14/$AX14</f>
        <v>10</v>
      </c>
      <c r="J14" s="59">
        <f>$C14/$AX14</f>
        <v>10</v>
      </c>
      <c r="K14" s="59">
        <f>$C14/$AX14</f>
        <v>10</v>
      </c>
      <c r="L14" s="59">
        <f>$C14/$AX14</f>
        <v>10</v>
      </c>
      <c r="M14" s="59">
        <f t="shared" ref="M14:O15" si="8">$C14/$AX14</f>
        <v>10</v>
      </c>
      <c r="N14" s="59">
        <f t="shared" si="8"/>
        <v>10</v>
      </c>
      <c r="O14" s="59">
        <f t="shared" si="8"/>
        <v>10</v>
      </c>
      <c r="P14" s="58">
        <f>$C14/$AX14</f>
        <v>10</v>
      </c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T14" s="57">
        <f t="shared" si="5"/>
        <v>80</v>
      </c>
      <c r="AU14" s="56">
        <f t="shared" si="3"/>
        <v>0</v>
      </c>
      <c r="AW14" s="28" t="s">
        <v>113</v>
      </c>
      <c r="AX14" s="28">
        <v>8</v>
      </c>
    </row>
    <row r="15" spans="2:53" x14ac:dyDescent="0.3">
      <c r="B15" s="12">
        <f>'Inputs for CF'!B16</f>
        <v>0</v>
      </c>
      <c r="C15" s="53">
        <f>'Inputs for CF'!D16</f>
        <v>0</v>
      </c>
      <c r="D15" s="58"/>
      <c r="E15" s="58"/>
      <c r="F15" s="58"/>
      <c r="G15" s="58"/>
      <c r="H15" s="58"/>
      <c r="I15" s="58"/>
      <c r="J15" s="58"/>
      <c r="K15" s="58"/>
      <c r="L15" s="58"/>
      <c r="M15" s="58">
        <f t="shared" si="8"/>
        <v>0</v>
      </c>
      <c r="N15" s="58">
        <f t="shared" si="8"/>
        <v>0</v>
      </c>
      <c r="O15" s="58">
        <f t="shared" si="8"/>
        <v>0</v>
      </c>
      <c r="P15" s="58">
        <f>$C15/$AX15</f>
        <v>0</v>
      </c>
      <c r="Q15" s="58">
        <f>$C15/$AX15</f>
        <v>0</v>
      </c>
      <c r="R15" s="58">
        <f>$C15/$AX15</f>
        <v>0</v>
      </c>
      <c r="S15" s="58">
        <f>$C15/$AX15</f>
        <v>0</v>
      </c>
      <c r="T15" s="58">
        <f>$C15/$AX15</f>
        <v>0</v>
      </c>
      <c r="U15" s="58"/>
      <c r="V15" s="58"/>
      <c r="W15" s="58"/>
      <c r="X15" s="58"/>
      <c r="Y15" s="58"/>
      <c r="Z15" s="58"/>
      <c r="AA15" s="58"/>
      <c r="AB15" s="58"/>
      <c r="AC15" s="58">
        <f t="shared" ref="AC15:AK15" si="9">$C15/$AX15</f>
        <v>0</v>
      </c>
      <c r="AD15" s="58">
        <f t="shared" si="9"/>
        <v>0</v>
      </c>
      <c r="AE15" s="58">
        <f t="shared" si="9"/>
        <v>0</v>
      </c>
      <c r="AF15" s="58">
        <f t="shared" si="9"/>
        <v>0</v>
      </c>
      <c r="AG15" s="58">
        <f t="shared" si="9"/>
        <v>0</v>
      </c>
      <c r="AH15" s="58">
        <f t="shared" si="9"/>
        <v>0</v>
      </c>
      <c r="AI15" s="58">
        <f t="shared" si="9"/>
        <v>0</v>
      </c>
      <c r="AJ15" s="58">
        <f t="shared" si="9"/>
        <v>0</v>
      </c>
      <c r="AK15" s="58">
        <f t="shared" si="9"/>
        <v>0</v>
      </c>
      <c r="AL15" s="58"/>
      <c r="AM15" s="58"/>
      <c r="AN15" s="58"/>
      <c r="AO15" s="58"/>
      <c r="AP15" s="58"/>
      <c r="AQ15" s="58"/>
      <c r="AR15" s="58"/>
      <c r="AT15" s="57">
        <f t="shared" si="5"/>
        <v>0</v>
      </c>
      <c r="AU15" s="56">
        <f t="shared" si="3"/>
        <v>0</v>
      </c>
      <c r="AW15" s="28" t="s">
        <v>41</v>
      </c>
      <c r="AX15" s="91">
        <v>17</v>
      </c>
    </row>
    <row r="16" spans="2:53" x14ac:dyDescent="0.3">
      <c r="B16" s="12" t="str">
        <f>'Inputs for CF'!B17</f>
        <v>Erection</v>
      </c>
      <c r="C16" s="53">
        <f>'Inputs for CF'!D17</f>
        <v>10</v>
      </c>
      <c r="D16" s="58"/>
      <c r="E16" s="58"/>
      <c r="F16" s="58"/>
      <c r="G16" s="96"/>
      <c r="H16" s="96"/>
      <c r="I16" s="97"/>
      <c r="J16" s="98">
        <f>$C$16*5%</f>
        <v>0.5</v>
      </c>
      <c r="K16" s="98">
        <f>$C$16*5%</f>
        <v>0.5</v>
      </c>
      <c r="L16" s="98">
        <f>$C$16*9%</f>
        <v>0.89999999999999991</v>
      </c>
      <c r="M16" s="98">
        <f>$C$16*14%</f>
        <v>1.4000000000000001</v>
      </c>
      <c r="N16" s="98">
        <f>$C$16*14%</f>
        <v>1.4000000000000001</v>
      </c>
      <c r="O16" s="98">
        <f>$C$16*14%</f>
        <v>1.4000000000000001</v>
      </c>
      <c r="P16" s="98">
        <f>$C$16*9%</f>
        <v>0.89999999999999991</v>
      </c>
      <c r="Q16" s="98">
        <f>$C$16*10%</f>
        <v>1</v>
      </c>
      <c r="R16" s="98">
        <f>$C$16*8%</f>
        <v>0.8</v>
      </c>
      <c r="S16" s="98">
        <f>$C$16*5%</f>
        <v>0.5</v>
      </c>
      <c r="T16" s="58">
        <f>$C$16*5%</f>
        <v>0.5</v>
      </c>
      <c r="U16" s="58">
        <f>$C$16*2%</f>
        <v>0.2</v>
      </c>
      <c r="V16" s="99"/>
      <c r="W16" s="99"/>
      <c r="X16" s="96"/>
      <c r="Y16" s="96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T16" s="57">
        <f t="shared" si="5"/>
        <v>10</v>
      </c>
      <c r="AU16" s="56">
        <f t="shared" si="3"/>
        <v>0</v>
      </c>
      <c r="AW16" s="28" t="s">
        <v>113</v>
      </c>
      <c r="AX16" s="28">
        <v>11</v>
      </c>
    </row>
    <row r="17" spans="1:51" x14ac:dyDescent="0.3">
      <c r="B17" s="12" t="str">
        <f>'Inputs for CF'!B18</f>
        <v>Civil</v>
      </c>
      <c r="C17" s="53">
        <f>'Inputs for CF'!D18</f>
        <v>110</v>
      </c>
      <c r="D17" s="58"/>
      <c r="E17" s="58"/>
      <c r="F17" s="58"/>
      <c r="G17" s="97"/>
      <c r="H17" s="98">
        <f>$C$17*2%</f>
        <v>2.2000000000000002</v>
      </c>
      <c r="I17" s="98">
        <f>$C$17*6%</f>
        <v>6.6</v>
      </c>
      <c r="J17" s="98">
        <f>$C$17*8%</f>
        <v>8.8000000000000007</v>
      </c>
      <c r="K17" s="98">
        <f>$C$17*12%</f>
        <v>13.2</v>
      </c>
      <c r="L17" s="98">
        <f>$C$17*13%</f>
        <v>14.3</v>
      </c>
      <c r="M17" s="98">
        <f>$C$17*13%</f>
        <v>14.3</v>
      </c>
      <c r="N17" s="98">
        <f>$C$17*13%</f>
        <v>14.3</v>
      </c>
      <c r="O17" s="98">
        <f>$C$17*9%</f>
        <v>9.9</v>
      </c>
      <c r="P17" s="98">
        <f>$C$17*9%</f>
        <v>9.9</v>
      </c>
      <c r="Q17" s="98">
        <f>$C$17*5%</f>
        <v>5.5</v>
      </c>
      <c r="R17" s="98">
        <f>$C$17*5%</f>
        <v>5.5</v>
      </c>
      <c r="S17" s="98">
        <f>$C$17*2%</f>
        <v>2.2000000000000002</v>
      </c>
      <c r="T17" s="58">
        <f>$C$17*2%</f>
        <v>2.2000000000000002</v>
      </c>
      <c r="U17" s="58">
        <f>$C$17*1%</f>
        <v>1.1000000000000001</v>
      </c>
      <c r="V17" s="100"/>
      <c r="W17" s="100"/>
      <c r="X17" s="96"/>
      <c r="Y17" s="96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T17" s="57">
        <f t="shared" ref="AT17:AT19" si="10">SUM(D17:AR17)</f>
        <v>110.00000000000001</v>
      </c>
      <c r="AU17" s="56">
        <f t="shared" ref="AU17:AU19" si="11">AT17-C17</f>
        <v>0</v>
      </c>
      <c r="AW17" s="28" t="s">
        <v>113</v>
      </c>
      <c r="AX17" s="28">
        <v>13</v>
      </c>
    </row>
    <row r="18" spans="1:51" x14ac:dyDescent="0.3">
      <c r="B18" s="12" t="str">
        <f>'Inputs for CF'!B19</f>
        <v>Power Evacuation</v>
      </c>
      <c r="C18" s="53">
        <f>'Inputs for CF'!D19</f>
        <v>0</v>
      </c>
      <c r="D18" s="96"/>
      <c r="E18" s="96"/>
      <c r="F18" s="96"/>
      <c r="G18" s="96"/>
      <c r="H18" s="96"/>
      <c r="I18" s="96"/>
      <c r="J18" s="96"/>
      <c r="K18" s="96"/>
      <c r="L18" s="96"/>
      <c r="M18" s="96">
        <f>$C$18*10%</f>
        <v>0</v>
      </c>
      <c r="N18" s="96">
        <f>$C$18*10%</f>
        <v>0</v>
      </c>
      <c r="O18" s="96">
        <f>($C$18*10%)</f>
        <v>0</v>
      </c>
      <c r="P18" s="96">
        <f>($C$18*10%)</f>
        <v>0</v>
      </c>
      <c r="Q18" s="96">
        <f>($C$18*20%)</f>
        <v>0</v>
      </c>
      <c r="R18" s="96">
        <f>($C$18*20%)</f>
        <v>0</v>
      </c>
      <c r="S18" s="96">
        <f>($C$18*15%)</f>
        <v>0</v>
      </c>
      <c r="T18" s="96">
        <f>($C$18*5%)</f>
        <v>0</v>
      </c>
      <c r="U18" s="96"/>
      <c r="V18" s="96"/>
      <c r="W18" s="96"/>
      <c r="X18" s="96"/>
      <c r="Y18" s="96"/>
      <c r="Z18" s="96"/>
      <c r="AA18" s="96"/>
      <c r="AB18" s="96"/>
      <c r="AC18" s="96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T18" s="57">
        <f>SUM(D18:AR18)</f>
        <v>0</v>
      </c>
      <c r="AU18" s="56">
        <f t="shared" si="11"/>
        <v>0</v>
      </c>
      <c r="AW18" s="28" t="s">
        <v>113</v>
      </c>
      <c r="AX18" s="28">
        <v>7</v>
      </c>
    </row>
    <row r="19" spans="1:51" x14ac:dyDescent="0.3">
      <c r="B19" s="12" t="str">
        <f>'Inputs for CF'!B20</f>
        <v>Mandatory Spares &amp; Freight</v>
      </c>
      <c r="C19" s="53">
        <f>'Inputs for CF'!D20</f>
        <v>0</v>
      </c>
      <c r="D19" s="96"/>
      <c r="E19" s="96"/>
      <c r="F19" s="96"/>
      <c r="G19" s="96"/>
      <c r="H19" s="96"/>
      <c r="I19" s="96"/>
      <c r="J19" s="96"/>
      <c r="K19" s="96"/>
      <c r="L19" s="96"/>
      <c r="M19" s="96">
        <f>$C$19/$AX$19</f>
        <v>0</v>
      </c>
      <c r="N19" s="96">
        <f>$C$19/$AX$19</f>
        <v>0</v>
      </c>
      <c r="O19" s="96">
        <f>$C$19/$AX$19</f>
        <v>0</v>
      </c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T19" s="57">
        <f t="shared" si="10"/>
        <v>0</v>
      </c>
      <c r="AU19" s="56">
        <f t="shared" si="11"/>
        <v>0</v>
      </c>
      <c r="AW19" s="28" t="s">
        <v>41</v>
      </c>
      <c r="AX19" s="28">
        <v>3</v>
      </c>
    </row>
    <row r="20" spans="1:51" x14ac:dyDescent="0.3">
      <c r="A20" s="23"/>
      <c r="B20" s="12" t="str">
        <f>'Inputs for CF'!B21</f>
        <v>IDC and R&amp;C</v>
      </c>
      <c r="C20" s="53">
        <f>'Inputs for CF'!D21</f>
        <v>70</v>
      </c>
      <c r="D20" s="99">
        <f>$C$20*1%</f>
        <v>0.70000000000000007</v>
      </c>
      <c r="E20" s="99">
        <f>$C$20*1%</f>
        <v>0.70000000000000007</v>
      </c>
      <c r="F20" s="99">
        <f>$C$20*1%</f>
        <v>0.70000000000000007</v>
      </c>
      <c r="G20" s="99">
        <f>$C$20*2%</f>
        <v>1.4000000000000001</v>
      </c>
      <c r="H20" s="99">
        <f>$C$20*3%</f>
        <v>2.1</v>
      </c>
      <c r="I20" s="99">
        <f>$C$20*5%</f>
        <v>3.5</v>
      </c>
      <c r="J20" s="99">
        <f>$C$20*7%</f>
        <v>4.9000000000000004</v>
      </c>
      <c r="K20" s="99">
        <f>$C$20*7%</f>
        <v>4.9000000000000004</v>
      </c>
      <c r="L20" s="99">
        <f>$C$20*7%</f>
        <v>4.9000000000000004</v>
      </c>
      <c r="M20" s="99">
        <f>$C$20*7.5%</f>
        <v>5.25</v>
      </c>
      <c r="N20" s="99">
        <f>$C$20*7.5%</f>
        <v>5.25</v>
      </c>
      <c r="O20" s="99">
        <f>$C$20*9%</f>
        <v>6.3</v>
      </c>
      <c r="P20" s="99">
        <f>$C$20*9%</f>
        <v>6.3</v>
      </c>
      <c r="Q20" s="99">
        <f>$C$20*9%</f>
        <v>6.3</v>
      </c>
      <c r="R20" s="99">
        <f>$C$20*8.5%</f>
        <v>5.95</v>
      </c>
      <c r="S20" s="99">
        <f>$C$20*7%</f>
        <v>4.9000000000000004</v>
      </c>
      <c r="T20" s="99">
        <f>$C$20*2%</f>
        <v>1.4000000000000001</v>
      </c>
      <c r="U20" s="99">
        <f>$C$20*2%</f>
        <v>1.4000000000000001</v>
      </c>
      <c r="V20" s="99">
        <f>$C$20*2.5%</f>
        <v>1.75</v>
      </c>
      <c r="W20" s="99">
        <f>$C$20*2%</f>
        <v>1.4000000000000001</v>
      </c>
      <c r="X20" s="99"/>
      <c r="Y20" s="99"/>
      <c r="Z20" s="99"/>
      <c r="AA20" s="96"/>
      <c r="AB20" s="96"/>
      <c r="AC20" s="96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T20" s="57">
        <f t="shared" si="5"/>
        <v>70.000000000000014</v>
      </c>
      <c r="AU20" s="56">
        <f t="shared" si="3"/>
        <v>0</v>
      </c>
      <c r="AW20" s="3"/>
      <c r="AX20" s="3"/>
    </row>
    <row r="21" spans="1:51" x14ac:dyDescent="0.3">
      <c r="B21" s="30" t="s">
        <v>42</v>
      </c>
      <c r="C21" s="55">
        <f>SUM(C5:C20)</f>
        <v>1000</v>
      </c>
      <c r="D21" s="61">
        <f t="shared" ref="D21:AR21" si="12">SUM(D5:D20)</f>
        <v>0.70000000000000007</v>
      </c>
      <c r="E21" s="61">
        <f t="shared" si="12"/>
        <v>0.70000000000000007</v>
      </c>
      <c r="F21" s="61">
        <f t="shared" si="12"/>
        <v>0.70000000000000007</v>
      </c>
      <c r="G21" s="61">
        <f t="shared" si="12"/>
        <v>1.4000000000000001</v>
      </c>
      <c r="H21" s="61">
        <f t="shared" si="12"/>
        <v>4.3000000000000007</v>
      </c>
      <c r="I21" s="61">
        <f t="shared" si="12"/>
        <v>40.1</v>
      </c>
      <c r="J21" s="61">
        <f t="shared" si="12"/>
        <v>34.200000000000003</v>
      </c>
      <c r="K21" s="61">
        <f>SUM(K5:K20)</f>
        <v>58.6</v>
      </c>
      <c r="L21" s="61">
        <f>SUM(L5:L20)</f>
        <v>79.14761904761906</v>
      </c>
      <c r="M21" s="61">
        <f t="shared" si="12"/>
        <v>80.664285714285711</v>
      </c>
      <c r="N21" s="61">
        <f t="shared" si="12"/>
        <v>93.997619047619054</v>
      </c>
      <c r="O21" s="61">
        <f t="shared" si="12"/>
        <v>57.31428571428571</v>
      </c>
      <c r="P21" s="61">
        <f t="shared" si="12"/>
        <v>80.147619047619045</v>
      </c>
      <c r="Q21" s="61">
        <f t="shared" si="12"/>
        <v>78.228571428571442</v>
      </c>
      <c r="R21" s="61">
        <f t="shared" si="12"/>
        <v>75.107142857142861</v>
      </c>
      <c r="S21" s="61">
        <f t="shared" si="12"/>
        <v>64.742857142857147</v>
      </c>
      <c r="T21" s="61">
        <f t="shared" si="12"/>
        <v>61.242857142857147</v>
      </c>
      <c r="U21" s="61">
        <f t="shared" si="12"/>
        <v>59.842857142857149</v>
      </c>
      <c r="V21" s="61">
        <f t="shared" si="12"/>
        <v>58.892857142857146</v>
      </c>
      <c r="W21" s="61">
        <f t="shared" ref="W21:AC21" si="13">SUM(W5:W20)</f>
        <v>58.542857142857144</v>
      </c>
      <c r="X21" s="61">
        <f>SUM(X5:X20)</f>
        <v>8.5714285714285712</v>
      </c>
      <c r="Y21" s="61">
        <f t="shared" si="13"/>
        <v>2.8571428571428577</v>
      </c>
      <c r="Z21" s="61">
        <f t="shared" si="13"/>
        <v>0</v>
      </c>
      <c r="AA21" s="61">
        <f t="shared" si="13"/>
        <v>0</v>
      </c>
      <c r="AB21" s="61">
        <f t="shared" si="13"/>
        <v>0</v>
      </c>
      <c r="AC21" s="61">
        <f t="shared" si="13"/>
        <v>0</v>
      </c>
      <c r="AD21" s="61">
        <f t="shared" si="12"/>
        <v>0</v>
      </c>
      <c r="AE21" s="61">
        <f t="shared" si="12"/>
        <v>0</v>
      </c>
      <c r="AF21" s="61">
        <f t="shared" si="12"/>
        <v>0</v>
      </c>
      <c r="AG21" s="61">
        <f t="shared" si="12"/>
        <v>0</v>
      </c>
      <c r="AH21" s="61">
        <f t="shared" si="12"/>
        <v>0</v>
      </c>
      <c r="AI21" s="61">
        <f t="shared" si="12"/>
        <v>0</v>
      </c>
      <c r="AJ21" s="61">
        <f t="shared" si="12"/>
        <v>0</v>
      </c>
      <c r="AK21" s="61">
        <f t="shared" si="12"/>
        <v>0</v>
      </c>
      <c r="AL21" s="61">
        <f t="shared" si="12"/>
        <v>0</v>
      </c>
      <c r="AM21" s="61">
        <f t="shared" si="12"/>
        <v>0</v>
      </c>
      <c r="AN21" s="61">
        <f t="shared" si="12"/>
        <v>0</v>
      </c>
      <c r="AO21" s="61">
        <f t="shared" si="12"/>
        <v>0</v>
      </c>
      <c r="AP21" s="61">
        <f t="shared" si="12"/>
        <v>0</v>
      </c>
      <c r="AQ21" s="61">
        <f t="shared" si="12"/>
        <v>0</v>
      </c>
      <c r="AR21" s="61">
        <f t="shared" si="12"/>
        <v>0</v>
      </c>
      <c r="AT21" s="55">
        <f t="shared" ref="AT21:AU21" si="14">SUM(AT5:AT20)</f>
        <v>1000</v>
      </c>
      <c r="AU21" s="55">
        <f t="shared" si="14"/>
        <v>0</v>
      </c>
      <c r="AW21" s="3"/>
      <c r="AX21" s="3"/>
    </row>
    <row r="22" spans="1:51" x14ac:dyDescent="0.3">
      <c r="B22" s="31"/>
      <c r="C22" s="32"/>
      <c r="D22" s="62">
        <f t="shared" ref="D22:AB22" si="15">D48/$C$21</f>
        <v>7.000000000000001E-4</v>
      </c>
      <c r="E22" s="62">
        <f t="shared" si="15"/>
        <v>1.4000000000000002E-3</v>
      </c>
      <c r="F22" s="62">
        <f t="shared" si="15"/>
        <v>2.1000000000000003E-3</v>
      </c>
      <c r="G22" s="62">
        <f t="shared" si="15"/>
        <v>3.5000000000000001E-3</v>
      </c>
      <c r="H22" s="62">
        <f t="shared" si="15"/>
        <v>7.8000000000000005E-3</v>
      </c>
      <c r="I22" s="62">
        <f t="shared" si="15"/>
        <v>4.7900000000000005E-2</v>
      </c>
      <c r="J22" s="62">
        <f t="shared" si="15"/>
        <v>8.2100000000000006E-2</v>
      </c>
      <c r="K22" s="62">
        <f t="shared" si="15"/>
        <v>0.14070000000000002</v>
      </c>
      <c r="L22" s="62">
        <f t="shared" si="15"/>
        <v>0.21984761904761907</v>
      </c>
      <c r="M22" s="62">
        <f t="shared" si="15"/>
        <v>0.30051190476190481</v>
      </c>
      <c r="N22" s="62">
        <f t="shared" si="15"/>
        <v>0.39450952380952392</v>
      </c>
      <c r="O22" s="62">
        <f t="shared" si="15"/>
        <v>0.45182380952380957</v>
      </c>
      <c r="P22" s="62">
        <f t="shared" si="15"/>
        <v>0.53197142857142865</v>
      </c>
      <c r="Q22" s="62">
        <f t="shared" si="15"/>
        <v>0.61020000000000008</v>
      </c>
      <c r="R22" s="62">
        <f t="shared" si="15"/>
        <v>0.68530714285714289</v>
      </c>
      <c r="S22" s="62">
        <f t="shared" si="15"/>
        <v>0.75005000000000011</v>
      </c>
      <c r="T22" s="62">
        <f t="shared" si="15"/>
        <v>0.81129285714285715</v>
      </c>
      <c r="U22" s="62">
        <f t="shared" si="15"/>
        <v>0.87113571428571435</v>
      </c>
      <c r="V22" s="62">
        <f t="shared" si="15"/>
        <v>0.93002857142857143</v>
      </c>
      <c r="W22" s="62">
        <f t="shared" si="15"/>
        <v>0.98857142857142866</v>
      </c>
      <c r="X22" s="62">
        <f t="shared" si="15"/>
        <v>0.99714285714285722</v>
      </c>
      <c r="Y22" s="62">
        <f t="shared" si="15"/>
        <v>1.0000000000000002</v>
      </c>
      <c r="Z22" s="62">
        <f t="shared" si="15"/>
        <v>1.0000000000000002</v>
      </c>
      <c r="AA22" s="62">
        <f t="shared" si="15"/>
        <v>1.0000000000000002</v>
      </c>
      <c r="AB22" s="62">
        <f t="shared" si="15"/>
        <v>1.0000000000000002</v>
      </c>
      <c r="AC22" s="62"/>
      <c r="AD22" s="62">
        <f t="shared" ref="AD22:AR22" si="16">AD48/$C$21</f>
        <v>1.0000000000000002</v>
      </c>
      <c r="AE22" s="62">
        <f t="shared" si="16"/>
        <v>1.0000000000000002</v>
      </c>
      <c r="AF22" s="62">
        <f t="shared" si="16"/>
        <v>1.0000000000000002</v>
      </c>
      <c r="AG22" s="62">
        <f t="shared" si="16"/>
        <v>1.0000000000000002</v>
      </c>
      <c r="AH22" s="62">
        <f t="shared" si="16"/>
        <v>1.0000000000000002</v>
      </c>
      <c r="AI22" s="62">
        <f t="shared" si="16"/>
        <v>1.0000000000000002</v>
      </c>
      <c r="AJ22" s="62">
        <f t="shared" si="16"/>
        <v>1.0000000000000002</v>
      </c>
      <c r="AK22" s="62">
        <f t="shared" si="16"/>
        <v>1.0000000000000002</v>
      </c>
      <c r="AL22" s="62">
        <f t="shared" si="16"/>
        <v>1.0000000000000002</v>
      </c>
      <c r="AM22" s="62">
        <f t="shared" si="16"/>
        <v>1.0000000000000002</v>
      </c>
      <c r="AN22" s="62">
        <f t="shared" si="16"/>
        <v>1.0000000000000002</v>
      </c>
      <c r="AO22" s="62">
        <f t="shared" si="16"/>
        <v>1.0000000000000002</v>
      </c>
      <c r="AP22" s="62">
        <f t="shared" si="16"/>
        <v>1.0000000000000002</v>
      </c>
      <c r="AQ22" s="62">
        <f t="shared" si="16"/>
        <v>1.0000000000000002</v>
      </c>
      <c r="AR22" s="62">
        <f t="shared" si="16"/>
        <v>1.0000000000000002</v>
      </c>
      <c r="AT22" s="101">
        <f>AT21/C21</f>
        <v>1</v>
      </c>
      <c r="AU22" s="101"/>
    </row>
    <row r="23" spans="1:51" x14ac:dyDescent="0.3">
      <c r="D23" s="33"/>
      <c r="E23" s="33"/>
      <c r="F23" s="34"/>
      <c r="G23" s="3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4"/>
      <c r="AH23" s="34"/>
      <c r="AI23" s="34"/>
      <c r="AJ23" s="34"/>
      <c r="AK23" s="34"/>
      <c r="AL23" s="33"/>
      <c r="AM23" s="33"/>
      <c r="AN23" s="35"/>
      <c r="AO23" s="35"/>
      <c r="AP23" s="35"/>
      <c r="AQ23" s="35"/>
    </row>
    <row r="24" spans="1:51" x14ac:dyDescent="0.3">
      <c r="B24" s="36" t="s">
        <v>43</v>
      </c>
      <c r="C24" s="27" t="s">
        <v>37</v>
      </c>
      <c r="D24" s="27">
        <f>D3</f>
        <v>1</v>
      </c>
      <c r="E24" s="27">
        <f t="shared" ref="E24:AR24" si="17">E3</f>
        <v>2</v>
      </c>
      <c r="F24" s="27">
        <f t="shared" si="17"/>
        <v>3</v>
      </c>
      <c r="G24" s="27">
        <f t="shared" si="17"/>
        <v>4</v>
      </c>
      <c r="H24" s="27">
        <f t="shared" si="17"/>
        <v>5</v>
      </c>
      <c r="I24" s="27">
        <f t="shared" si="17"/>
        <v>6</v>
      </c>
      <c r="J24" s="27">
        <f t="shared" si="17"/>
        <v>7</v>
      </c>
      <c r="K24" s="27">
        <f t="shared" si="17"/>
        <v>8</v>
      </c>
      <c r="L24" s="27">
        <f t="shared" si="17"/>
        <v>9</v>
      </c>
      <c r="M24" s="27">
        <f t="shared" si="17"/>
        <v>10</v>
      </c>
      <c r="N24" s="27">
        <f t="shared" si="17"/>
        <v>11</v>
      </c>
      <c r="O24" s="27">
        <f t="shared" si="17"/>
        <v>12</v>
      </c>
      <c r="P24" s="27">
        <f t="shared" si="17"/>
        <v>13</v>
      </c>
      <c r="Q24" s="27">
        <f t="shared" si="17"/>
        <v>14</v>
      </c>
      <c r="R24" s="27">
        <f t="shared" si="17"/>
        <v>15</v>
      </c>
      <c r="S24" s="27">
        <f t="shared" si="17"/>
        <v>16</v>
      </c>
      <c r="T24" s="27">
        <f t="shared" si="17"/>
        <v>17</v>
      </c>
      <c r="U24" s="27">
        <f t="shared" si="17"/>
        <v>18</v>
      </c>
      <c r="V24" s="27">
        <f t="shared" si="17"/>
        <v>19</v>
      </c>
      <c r="W24" s="27">
        <f t="shared" ref="W24:AC24" si="18">W3</f>
        <v>20</v>
      </c>
      <c r="X24" s="27">
        <f t="shared" si="18"/>
        <v>21</v>
      </c>
      <c r="Y24" s="27">
        <f t="shared" si="18"/>
        <v>22</v>
      </c>
      <c r="Z24" s="27">
        <f t="shared" si="18"/>
        <v>23</v>
      </c>
      <c r="AA24" s="27">
        <f t="shared" si="18"/>
        <v>24</v>
      </c>
      <c r="AB24" s="27">
        <f t="shared" si="18"/>
        <v>25</v>
      </c>
      <c r="AC24" s="27">
        <f t="shared" si="18"/>
        <v>26</v>
      </c>
      <c r="AD24" s="27">
        <f t="shared" si="17"/>
        <v>19</v>
      </c>
      <c r="AE24" s="27">
        <f t="shared" si="17"/>
        <v>20</v>
      </c>
      <c r="AF24" s="27">
        <f t="shared" si="17"/>
        <v>21</v>
      </c>
      <c r="AG24" s="27">
        <f t="shared" si="17"/>
        <v>22</v>
      </c>
      <c r="AH24" s="27">
        <f t="shared" si="17"/>
        <v>23</v>
      </c>
      <c r="AI24" s="27">
        <f t="shared" si="17"/>
        <v>24</v>
      </c>
      <c r="AJ24" s="27">
        <f t="shared" si="17"/>
        <v>25</v>
      </c>
      <c r="AK24" s="27">
        <f t="shared" si="17"/>
        <v>26</v>
      </c>
      <c r="AL24" s="27">
        <f t="shared" si="17"/>
        <v>27</v>
      </c>
      <c r="AM24" s="27">
        <f t="shared" si="17"/>
        <v>28</v>
      </c>
      <c r="AN24" s="27">
        <f t="shared" si="17"/>
        <v>29</v>
      </c>
      <c r="AO24" s="27">
        <f t="shared" si="17"/>
        <v>30</v>
      </c>
      <c r="AP24" s="27">
        <f t="shared" si="17"/>
        <v>31</v>
      </c>
      <c r="AQ24" s="27">
        <f t="shared" si="17"/>
        <v>32</v>
      </c>
      <c r="AR24" s="27">
        <f t="shared" si="17"/>
        <v>33</v>
      </c>
    </row>
    <row r="25" spans="1:51" x14ac:dyDescent="0.3">
      <c r="B25" s="37" t="s">
        <v>11</v>
      </c>
      <c r="C25" s="27" t="s">
        <v>38</v>
      </c>
      <c r="D25" s="38">
        <f>D4</f>
        <v>45536</v>
      </c>
      <c r="E25" s="38">
        <f t="shared" ref="E25:AR25" si="19">E4</f>
        <v>45566</v>
      </c>
      <c r="F25" s="38">
        <f t="shared" si="19"/>
        <v>45597</v>
      </c>
      <c r="G25" s="38">
        <f t="shared" si="19"/>
        <v>45627</v>
      </c>
      <c r="H25" s="38">
        <f t="shared" si="19"/>
        <v>45658</v>
      </c>
      <c r="I25" s="38">
        <f t="shared" si="19"/>
        <v>45689</v>
      </c>
      <c r="J25" s="38">
        <f t="shared" si="19"/>
        <v>45717</v>
      </c>
      <c r="K25" s="38">
        <f t="shared" si="19"/>
        <v>45748</v>
      </c>
      <c r="L25" s="38">
        <f t="shared" si="19"/>
        <v>45778</v>
      </c>
      <c r="M25" s="38">
        <f t="shared" si="19"/>
        <v>45809</v>
      </c>
      <c r="N25" s="38">
        <f t="shared" si="19"/>
        <v>45839</v>
      </c>
      <c r="O25" s="38">
        <f t="shared" si="19"/>
        <v>45870</v>
      </c>
      <c r="P25" s="38">
        <f t="shared" si="19"/>
        <v>45901</v>
      </c>
      <c r="Q25" s="38">
        <f t="shared" si="19"/>
        <v>45931</v>
      </c>
      <c r="R25" s="38">
        <f t="shared" si="19"/>
        <v>45962</v>
      </c>
      <c r="S25" s="38">
        <f t="shared" si="19"/>
        <v>45992</v>
      </c>
      <c r="T25" s="38">
        <f t="shared" si="19"/>
        <v>46023</v>
      </c>
      <c r="U25" s="38">
        <f t="shared" si="19"/>
        <v>46054</v>
      </c>
      <c r="V25" s="38">
        <f t="shared" si="19"/>
        <v>46082</v>
      </c>
      <c r="W25" s="38">
        <f t="shared" ref="W25:AC25" si="20">W4</f>
        <v>46113</v>
      </c>
      <c r="X25" s="38">
        <f t="shared" si="20"/>
        <v>46143</v>
      </c>
      <c r="Y25" s="38">
        <f t="shared" si="20"/>
        <v>46174</v>
      </c>
      <c r="Z25" s="38">
        <f t="shared" si="20"/>
        <v>46204</v>
      </c>
      <c r="AA25" s="38">
        <f t="shared" si="20"/>
        <v>46235</v>
      </c>
      <c r="AB25" s="38">
        <f t="shared" si="20"/>
        <v>46266</v>
      </c>
      <c r="AC25" s="38">
        <f t="shared" si="20"/>
        <v>46296</v>
      </c>
      <c r="AD25" s="38">
        <f t="shared" si="19"/>
        <v>46327</v>
      </c>
      <c r="AE25" s="38">
        <f t="shared" si="19"/>
        <v>46357</v>
      </c>
      <c r="AF25" s="38">
        <f t="shared" si="19"/>
        <v>46388</v>
      </c>
      <c r="AG25" s="38">
        <f t="shared" si="19"/>
        <v>46419</v>
      </c>
      <c r="AH25" s="38">
        <f t="shared" si="19"/>
        <v>46447</v>
      </c>
      <c r="AI25" s="38">
        <f t="shared" si="19"/>
        <v>46478</v>
      </c>
      <c r="AJ25" s="38">
        <f t="shared" si="19"/>
        <v>46508</v>
      </c>
      <c r="AK25" s="38">
        <f t="shared" si="19"/>
        <v>46539</v>
      </c>
      <c r="AL25" s="38">
        <f t="shared" si="19"/>
        <v>46569</v>
      </c>
      <c r="AM25" s="38">
        <f t="shared" si="19"/>
        <v>46600</v>
      </c>
      <c r="AN25" s="38">
        <f t="shared" si="19"/>
        <v>46631</v>
      </c>
      <c r="AO25" s="38">
        <f t="shared" si="19"/>
        <v>46661</v>
      </c>
      <c r="AP25" s="38">
        <f t="shared" si="19"/>
        <v>46692</v>
      </c>
      <c r="AQ25" s="38">
        <f t="shared" si="19"/>
        <v>46722</v>
      </c>
      <c r="AR25" s="38">
        <f t="shared" si="19"/>
        <v>46753</v>
      </c>
      <c r="AT25" s="8" t="s">
        <v>8</v>
      </c>
      <c r="AU25" s="8" t="s">
        <v>6</v>
      </c>
      <c r="AW25" s="27" t="s">
        <v>60</v>
      </c>
      <c r="AX25" s="27" t="s">
        <v>7</v>
      </c>
      <c r="AY25" s="28" t="s">
        <v>38</v>
      </c>
    </row>
    <row r="26" spans="1:51" x14ac:dyDescent="0.3">
      <c r="B26" s="39" t="str">
        <f>'Inputs for CF'!B6</f>
        <v>Cell</v>
      </c>
      <c r="C26" s="57">
        <f>'Inputs for CF'!K6</f>
        <v>0</v>
      </c>
      <c r="D26" s="57">
        <f t="shared" ref="D26:D35" si="21">C26*$AX$28</f>
        <v>0</v>
      </c>
      <c r="E26" s="57"/>
      <c r="F26" s="57"/>
      <c r="G26" s="127"/>
      <c r="H26" s="128"/>
      <c r="I26" s="129"/>
      <c r="J26" s="127"/>
      <c r="K26" s="129"/>
      <c r="L26" s="127"/>
      <c r="M26" s="129"/>
      <c r="N26" s="127"/>
      <c r="O26" s="127"/>
      <c r="P26" s="127"/>
      <c r="Q26" s="130"/>
      <c r="R26" s="127"/>
      <c r="S26" s="130"/>
      <c r="T26" s="130"/>
      <c r="U26" s="130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67"/>
      <c r="AM26" s="57"/>
      <c r="AN26" s="57"/>
      <c r="AO26" s="57"/>
      <c r="AP26" s="57"/>
      <c r="AQ26" s="57"/>
      <c r="AR26" s="57"/>
      <c r="AT26" s="57">
        <f t="shared" ref="AT26:AT36" si="22">SUM(D26:AC26)</f>
        <v>0</v>
      </c>
      <c r="AU26" s="16">
        <f t="shared" ref="AU26:AU42" si="23">AT26-C26</f>
        <v>0</v>
      </c>
      <c r="AW26" s="66" t="s">
        <v>10</v>
      </c>
      <c r="AX26" s="41"/>
      <c r="AY26" s="65"/>
    </row>
    <row r="27" spans="1:51" x14ac:dyDescent="0.3">
      <c r="B27" s="39" t="s">
        <v>107</v>
      </c>
      <c r="C27" s="57">
        <f>'Inputs for CF'!K7</f>
        <v>0</v>
      </c>
      <c r="D27" s="57">
        <f t="shared" si="21"/>
        <v>0</v>
      </c>
      <c r="E27" s="57"/>
      <c r="F27" s="57"/>
      <c r="G27" s="127"/>
      <c r="H27" s="136"/>
      <c r="I27" s="129"/>
      <c r="J27" s="127"/>
      <c r="K27" s="129"/>
      <c r="L27" s="127"/>
      <c r="M27" s="129"/>
      <c r="N27" s="127"/>
      <c r="O27" s="127"/>
      <c r="P27" s="127"/>
      <c r="Q27" s="130"/>
      <c r="R27" s="130"/>
      <c r="S27" s="130"/>
      <c r="T27" s="130"/>
      <c r="U27" s="130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67"/>
      <c r="AM27" s="57"/>
      <c r="AN27" s="57"/>
      <c r="AO27" s="57"/>
      <c r="AP27" s="57"/>
      <c r="AQ27" s="57"/>
      <c r="AR27" s="57"/>
      <c r="AT27" s="57">
        <f t="shared" si="22"/>
        <v>0</v>
      </c>
      <c r="AU27" s="16"/>
      <c r="AW27" s="66"/>
      <c r="AX27" s="41"/>
      <c r="AY27" s="65"/>
    </row>
    <row r="28" spans="1:51" x14ac:dyDescent="0.3">
      <c r="B28" s="39" t="str">
        <f>'Inputs for CF'!B8</f>
        <v>Cell Tolling - Module</v>
      </c>
      <c r="C28" s="57">
        <f>'Inputs for CF'!K8</f>
        <v>669.05615292712059</v>
      </c>
      <c r="D28" s="57">
        <f t="shared" si="21"/>
        <v>100.35842293906809</v>
      </c>
      <c r="E28" s="57"/>
      <c r="F28" s="57"/>
      <c r="G28" s="127"/>
      <c r="H28" s="128"/>
      <c r="I28" s="127"/>
      <c r="J28" s="1"/>
      <c r="K28" s="131"/>
      <c r="L28" s="131"/>
      <c r="M28" s="140">
        <f>(($C28*($AX$29+$AX$30))/$AX7)*0.8</f>
        <v>53.524492234169649</v>
      </c>
      <c r="N28" s="131">
        <f t="shared" ref="N28:R28" si="24">($C28*($AX$29+$AX$30))/$AX7</f>
        <v>66.905615292712056</v>
      </c>
      <c r="O28" s="131">
        <f t="shared" si="24"/>
        <v>66.905615292712056</v>
      </c>
      <c r="P28" s="131">
        <f t="shared" si="24"/>
        <v>66.905615292712056</v>
      </c>
      <c r="Q28" s="131">
        <f t="shared" si="24"/>
        <v>66.905615292712056</v>
      </c>
      <c r="R28" s="130">
        <f t="shared" si="24"/>
        <v>66.905615292712056</v>
      </c>
      <c r="S28" s="130">
        <f>($C28*($AX$29+$AX$30))/$AX7</f>
        <v>66.905615292712056</v>
      </c>
      <c r="T28" s="141">
        <f>(($C28*($AX$29+$AX$30))/$AX7)*0.15</f>
        <v>10.035842293906809</v>
      </c>
      <c r="U28" s="141">
        <f>(($C28*($AX$29+$AX$30))/$AX7)*0.05</f>
        <v>3.3452807646356031</v>
      </c>
      <c r="V28" s="142">
        <f>($C28*$AX$31)</f>
        <v>16.726403823178014</v>
      </c>
      <c r="W28" s="90">
        <f>($C28*$AX$32)</f>
        <v>16.726403823178014</v>
      </c>
      <c r="X28" s="90"/>
      <c r="Y28" s="57"/>
      <c r="Z28" s="57">
        <f>($C28*$AX$33)</f>
        <v>66.905615292712056</v>
      </c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67"/>
      <c r="AM28" s="57"/>
      <c r="AN28" s="57"/>
      <c r="AO28" s="57"/>
      <c r="AP28" s="57">
        <f t="shared" ref="AP28:AP33" si="25">(C28*$AX$33)*0</f>
        <v>0</v>
      </c>
      <c r="AQ28" s="57"/>
      <c r="AR28" s="57"/>
      <c r="AT28" s="57">
        <f t="shared" si="22"/>
        <v>669.05615292712059</v>
      </c>
      <c r="AU28" s="65">
        <f t="shared" ref="AU28:AU36" si="26">AT28-(C28*100%)</f>
        <v>0</v>
      </c>
      <c r="AW28" s="40" t="s">
        <v>24</v>
      </c>
      <c r="AX28" s="41">
        <v>0.15</v>
      </c>
      <c r="AY28" s="65">
        <f t="shared" ref="AY28:AY33" si="27">SUM($C$28:$C$35,$C$39)*$AX28</f>
        <v>145.16129032258064</v>
      </c>
    </row>
    <row r="29" spans="1:51" x14ac:dyDescent="0.3">
      <c r="B29" s="39" t="str">
        <f>'Inputs for CF'!B9</f>
        <v>Inverter</v>
      </c>
      <c r="C29" s="57">
        <f>'Inputs for CF'!K9</f>
        <v>47.789725209080046</v>
      </c>
      <c r="D29" s="57">
        <f t="shared" si="21"/>
        <v>7.1684587813620064</v>
      </c>
      <c r="E29" s="57"/>
      <c r="F29" s="57"/>
      <c r="G29" s="132"/>
      <c r="H29" s="127"/>
      <c r="I29" s="127"/>
      <c r="J29" s="131"/>
      <c r="K29" s="131"/>
      <c r="L29" s="129">
        <f t="shared" ref="L29:P30" si="28">($C29*($AX$29+$AX$30))/$AX8</f>
        <v>6.6905615292712071</v>
      </c>
      <c r="M29" s="129">
        <f t="shared" si="28"/>
        <v>6.6905615292712071</v>
      </c>
      <c r="N29" s="129">
        <f t="shared" si="28"/>
        <v>6.6905615292712071</v>
      </c>
      <c r="O29" s="127">
        <f t="shared" si="28"/>
        <v>6.6905615292712071</v>
      </c>
      <c r="P29" s="127">
        <f t="shared" si="28"/>
        <v>6.6905615292712071</v>
      </c>
      <c r="Q29" s="132"/>
      <c r="R29" s="132"/>
      <c r="S29" s="132"/>
      <c r="T29" s="130"/>
      <c r="U29" s="130"/>
      <c r="V29" s="90">
        <f t="shared" ref="V29:V35" si="29">($C29*$AX$31)</f>
        <v>1.1947431302270013</v>
      </c>
      <c r="W29" s="90">
        <f t="shared" ref="W29:W35" si="30">($C29*$AX$32)</f>
        <v>1.1947431302270013</v>
      </c>
      <c r="X29" s="57"/>
      <c r="Y29" s="57"/>
      <c r="Z29" s="57">
        <f t="shared" ref="Z29:Z35" si="31">($C29*$AX$33)</f>
        <v>4.7789725209080052</v>
      </c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67"/>
      <c r="AM29" s="57"/>
      <c r="AN29" s="57"/>
      <c r="AO29" s="57"/>
      <c r="AP29" s="57">
        <f t="shared" si="25"/>
        <v>0</v>
      </c>
      <c r="AQ29" s="57"/>
      <c r="AR29" s="57"/>
      <c r="AT29" s="57">
        <f t="shared" si="22"/>
        <v>47.789725209080054</v>
      </c>
      <c r="AU29" s="65">
        <f t="shared" si="26"/>
        <v>0</v>
      </c>
      <c r="AW29" s="17" t="s">
        <v>55</v>
      </c>
      <c r="AX29" s="41">
        <v>0.55000000000000004</v>
      </c>
      <c r="AY29" s="65">
        <f t="shared" si="27"/>
        <v>532.25806451612902</v>
      </c>
    </row>
    <row r="30" spans="1:51" x14ac:dyDescent="0.3">
      <c r="B30" s="39" t="str">
        <f>'Inputs for CF'!B10</f>
        <v>MMS - Tracker</v>
      </c>
      <c r="C30" s="57">
        <f>'Inputs for CF'!K10</f>
        <v>71.68458781362007</v>
      </c>
      <c r="D30" s="57">
        <f t="shared" si="21"/>
        <v>10.75268817204301</v>
      </c>
      <c r="E30" s="57"/>
      <c r="F30" s="57"/>
      <c r="G30" s="132"/>
      <c r="H30" s="133"/>
      <c r="I30" s="133"/>
      <c r="J30" s="133">
        <f>($C30*($AX$29+$AX$30))/$AX9</f>
        <v>8.3632019115890088</v>
      </c>
      <c r="K30" s="133">
        <f>($C30*($AX$29+$AX$30))/$AX9</f>
        <v>8.3632019115890088</v>
      </c>
      <c r="L30" s="133">
        <f t="shared" ref="L30" si="32">($C30*($AX$29+$AX$30))/$AX9</f>
        <v>8.3632019115890088</v>
      </c>
      <c r="M30" s="133">
        <f t="shared" si="28"/>
        <v>8.3632019115890088</v>
      </c>
      <c r="N30" s="134">
        <f t="shared" si="28"/>
        <v>8.3632019115890088</v>
      </c>
      <c r="O30" s="134">
        <f t="shared" si="28"/>
        <v>8.3632019115890088</v>
      </c>
      <c r="P30" s="134"/>
      <c r="Q30" s="134"/>
      <c r="R30" s="134"/>
      <c r="S30" s="1"/>
      <c r="T30" s="130"/>
      <c r="U30" s="135"/>
      <c r="V30" s="90">
        <f t="shared" si="29"/>
        <v>1.7921146953405018</v>
      </c>
      <c r="W30" s="90">
        <f t="shared" si="30"/>
        <v>1.7921146953405018</v>
      </c>
      <c r="X30" s="57"/>
      <c r="Y30" s="57"/>
      <c r="Z30" s="57">
        <f t="shared" si="31"/>
        <v>7.1684587813620073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67"/>
      <c r="AM30" s="57"/>
      <c r="AN30" s="57"/>
      <c r="AO30" s="57"/>
      <c r="AP30" s="57">
        <f t="shared" si="25"/>
        <v>0</v>
      </c>
      <c r="AQ30" s="57"/>
      <c r="AR30" s="57"/>
      <c r="AT30" s="57">
        <f t="shared" si="22"/>
        <v>71.68458781362007</v>
      </c>
      <c r="AU30" s="65">
        <f t="shared" si="26"/>
        <v>0</v>
      </c>
      <c r="AW30" s="3" t="s">
        <v>56</v>
      </c>
      <c r="AX30" s="41">
        <v>0.15</v>
      </c>
      <c r="AY30" s="65">
        <f t="shared" si="27"/>
        <v>145.16129032258064</v>
      </c>
    </row>
    <row r="31" spans="1:51" x14ac:dyDescent="0.3">
      <c r="B31" s="39" t="str">
        <f>'Inputs for CF'!B11</f>
        <v>Power Transformer</v>
      </c>
      <c r="C31" s="57">
        <f>'Inputs for CF'!K11</f>
        <v>0</v>
      </c>
      <c r="D31" s="57">
        <f t="shared" si="21"/>
        <v>0</v>
      </c>
      <c r="E31" s="57"/>
      <c r="F31" s="57"/>
      <c r="G31" s="58"/>
      <c r="H31" s="58"/>
      <c r="I31" s="58"/>
      <c r="J31" s="58"/>
      <c r="K31" s="58"/>
      <c r="L31" s="58"/>
      <c r="M31" s="58"/>
      <c r="N31" s="58"/>
      <c r="O31" s="58"/>
      <c r="P31" s="58">
        <f>($C31*($AX$29+$AX$30))/$AX10</f>
        <v>0</v>
      </c>
      <c r="Q31" s="58">
        <f>($C31*($AX$29+$AX$30))/$AX10</f>
        <v>0</v>
      </c>
      <c r="R31" s="58"/>
      <c r="S31" s="58"/>
      <c r="T31" s="58"/>
      <c r="U31" s="58"/>
      <c r="V31" s="90">
        <f t="shared" si="29"/>
        <v>0</v>
      </c>
      <c r="W31" s="90">
        <f t="shared" si="30"/>
        <v>0</v>
      </c>
      <c r="X31" s="57"/>
      <c r="Y31" s="57"/>
      <c r="Z31" s="57">
        <f t="shared" si="31"/>
        <v>0</v>
      </c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67"/>
      <c r="AM31" s="57"/>
      <c r="AN31" s="57"/>
      <c r="AO31" s="57"/>
      <c r="AP31" s="57">
        <f t="shared" si="25"/>
        <v>0</v>
      </c>
      <c r="AQ31" s="57"/>
      <c r="AR31" s="57"/>
      <c r="AT31" s="57">
        <f t="shared" si="22"/>
        <v>0</v>
      </c>
      <c r="AU31" s="65">
        <f t="shared" si="26"/>
        <v>0</v>
      </c>
      <c r="AW31" s="3" t="s">
        <v>101</v>
      </c>
      <c r="AX31" s="41">
        <v>2.5000000000000001E-2</v>
      </c>
      <c r="AY31" s="65">
        <f t="shared" si="27"/>
        <v>24.193548387096776</v>
      </c>
    </row>
    <row r="32" spans="1:51" x14ac:dyDescent="0.3">
      <c r="B32" s="39" t="str">
        <f>'Inputs for CF'!B12</f>
        <v>Cables</v>
      </c>
      <c r="C32" s="57">
        <f>'Inputs for CF'!K12</f>
        <v>47.789725209080046</v>
      </c>
      <c r="D32" s="57">
        <f t="shared" si="21"/>
        <v>7.1684587813620064</v>
      </c>
      <c r="E32" s="57"/>
      <c r="F32" s="57"/>
      <c r="G32" s="127"/>
      <c r="H32" s="1"/>
      <c r="I32" s="131"/>
      <c r="J32" s="131"/>
      <c r="K32" s="131">
        <f>($C32*($AX$29+$AX$30))/$AX11</f>
        <v>4.7789725209080052</v>
      </c>
      <c r="L32" s="131">
        <f>($C32*($AX$29+$AX$30))/$AX11</f>
        <v>4.7789725209080052</v>
      </c>
      <c r="M32" s="131">
        <f t="shared" ref="M32:Q32" si="33">($C32*($AX$29+$AX$30))/$AX11</f>
        <v>4.7789725209080052</v>
      </c>
      <c r="N32" s="131">
        <f t="shared" si="33"/>
        <v>4.7789725209080052</v>
      </c>
      <c r="O32" s="131">
        <f t="shared" si="33"/>
        <v>4.7789725209080052</v>
      </c>
      <c r="P32" s="132">
        <f t="shared" si="33"/>
        <v>4.7789725209080052</v>
      </c>
      <c r="Q32" s="132">
        <f t="shared" si="33"/>
        <v>4.7789725209080052</v>
      </c>
      <c r="R32" s="132"/>
      <c r="S32" s="132"/>
      <c r="T32" s="132"/>
      <c r="U32" s="135"/>
      <c r="V32" s="90">
        <f t="shared" si="29"/>
        <v>1.1947431302270013</v>
      </c>
      <c r="W32" s="90">
        <f t="shared" si="30"/>
        <v>1.1947431302270013</v>
      </c>
      <c r="X32" s="57"/>
      <c r="Y32" s="57"/>
      <c r="Z32" s="57">
        <f t="shared" si="31"/>
        <v>4.7789725209080052</v>
      </c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67"/>
      <c r="AM32" s="57"/>
      <c r="AN32" s="57"/>
      <c r="AO32" s="57"/>
      <c r="AP32" s="57">
        <f t="shared" si="25"/>
        <v>0</v>
      </c>
      <c r="AQ32" s="57"/>
      <c r="AR32" s="57"/>
      <c r="AT32" s="57">
        <f t="shared" si="22"/>
        <v>47.789725209080061</v>
      </c>
      <c r="AU32" s="65">
        <f t="shared" si="26"/>
        <v>0</v>
      </c>
      <c r="AW32" s="3" t="s">
        <v>102</v>
      </c>
      <c r="AX32" s="41">
        <v>2.5000000000000001E-2</v>
      </c>
      <c r="AY32" s="65">
        <f t="shared" si="27"/>
        <v>24.193548387096776</v>
      </c>
    </row>
    <row r="33" spans="1:51" x14ac:dyDescent="0.3">
      <c r="B33" s="39" t="str">
        <f>'Inputs for CF'!B13</f>
        <v>IDT</v>
      </c>
      <c r="C33" s="57">
        <f>'Inputs for CF'!K13</f>
        <v>35.842293906810035</v>
      </c>
      <c r="D33" s="57">
        <f t="shared" si="21"/>
        <v>5.376344086021505</v>
      </c>
      <c r="E33" s="57"/>
      <c r="F33" s="57"/>
      <c r="G33" s="127"/>
      <c r="H33" s="130"/>
      <c r="I33" s="130"/>
      <c r="J33" s="131"/>
      <c r="K33" s="131"/>
      <c r="L33" s="137">
        <f>($C33*($AX$29+$AX$30))/$AX12</f>
        <v>5.0179211469534053</v>
      </c>
      <c r="M33" s="137">
        <f>($C33*($AX$29+$AX$30))/$AX12</f>
        <v>5.0179211469534053</v>
      </c>
      <c r="N33" s="137">
        <f>($C33*($AX$29+$AX$30))/$AX12</f>
        <v>5.0179211469534053</v>
      </c>
      <c r="O33" s="132">
        <f>($C33*($AX$29+$AX$30))/$AX12</f>
        <v>5.0179211469534053</v>
      </c>
      <c r="P33" s="132">
        <f>($C33*($AX$29+$AX$30))/$AX12</f>
        <v>5.0179211469534053</v>
      </c>
      <c r="Q33" s="132"/>
      <c r="R33" s="132"/>
      <c r="S33" s="132"/>
      <c r="T33" s="132"/>
      <c r="U33" s="135"/>
      <c r="V33" s="90">
        <f t="shared" si="29"/>
        <v>0.89605734767025091</v>
      </c>
      <c r="W33" s="90">
        <f t="shared" si="30"/>
        <v>0.89605734767025091</v>
      </c>
      <c r="X33" s="57"/>
      <c r="Y33" s="57"/>
      <c r="Z33" s="57">
        <f t="shared" si="31"/>
        <v>3.5842293906810037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67"/>
      <c r="AM33" s="57"/>
      <c r="AN33" s="57"/>
      <c r="AO33" s="57"/>
      <c r="AP33" s="57">
        <f t="shared" si="25"/>
        <v>0</v>
      </c>
      <c r="AQ33" s="57"/>
      <c r="AR33" s="57"/>
      <c r="AT33" s="57">
        <f t="shared" si="22"/>
        <v>35.842293906810035</v>
      </c>
      <c r="AU33" s="65">
        <f t="shared" si="26"/>
        <v>0</v>
      </c>
      <c r="AW33" s="3" t="s">
        <v>103</v>
      </c>
      <c r="AX33" s="41">
        <v>0.1</v>
      </c>
      <c r="AY33" s="65">
        <f t="shared" si="27"/>
        <v>96.774193548387103</v>
      </c>
    </row>
    <row r="34" spans="1:51" x14ac:dyDescent="0.3">
      <c r="B34" s="39">
        <f>'Inputs for CF'!B14</f>
        <v>0</v>
      </c>
      <c r="C34" s="57">
        <f>'Inputs for CF'!K14</f>
        <v>0</v>
      </c>
      <c r="D34" s="57">
        <f t="shared" si="21"/>
        <v>0</v>
      </c>
      <c r="E34" s="57"/>
      <c r="F34" s="57"/>
      <c r="G34" s="58"/>
      <c r="H34" s="58"/>
      <c r="I34" s="58"/>
      <c r="J34" s="58"/>
      <c r="K34" s="58"/>
      <c r="L34" s="58">
        <f t="shared" ref="L34:N35" si="34">($C34*($AX$29+$AX$30))/$AX13</f>
        <v>0</v>
      </c>
      <c r="M34" s="58">
        <f t="shared" si="34"/>
        <v>0</v>
      </c>
      <c r="N34" s="58">
        <f t="shared" si="34"/>
        <v>0</v>
      </c>
      <c r="O34" s="58"/>
      <c r="P34" s="58"/>
      <c r="Q34" s="58"/>
      <c r="R34" s="58"/>
      <c r="S34" s="58"/>
      <c r="T34" s="58"/>
      <c r="U34" s="58"/>
      <c r="V34" s="90">
        <f t="shared" si="29"/>
        <v>0</v>
      </c>
      <c r="W34" s="90">
        <f t="shared" si="30"/>
        <v>0</v>
      </c>
      <c r="X34" s="57"/>
      <c r="Y34" s="57"/>
      <c r="Z34" s="57">
        <f t="shared" si="31"/>
        <v>0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67"/>
      <c r="AM34" s="57"/>
      <c r="AN34" s="57"/>
      <c r="AO34" s="57"/>
      <c r="AP34" s="57"/>
      <c r="AQ34" s="57"/>
      <c r="AR34" s="57"/>
      <c r="AT34" s="57">
        <f t="shared" si="22"/>
        <v>0</v>
      </c>
      <c r="AU34" s="65">
        <f t="shared" si="26"/>
        <v>0</v>
      </c>
      <c r="AW34" s="18" t="s">
        <v>57</v>
      </c>
      <c r="AX34" s="28"/>
      <c r="AY34" s="3"/>
    </row>
    <row r="35" spans="1:51" x14ac:dyDescent="0.3">
      <c r="B35" s="39" t="str">
        <f>'Inputs for CF'!B15</f>
        <v>Other Supply</v>
      </c>
      <c r="C35" s="57">
        <f>'Inputs for CF'!K15</f>
        <v>95.579450418160093</v>
      </c>
      <c r="D35" s="57">
        <f t="shared" si="21"/>
        <v>14.336917562724013</v>
      </c>
      <c r="E35" s="57"/>
      <c r="F35" s="57"/>
      <c r="G35" s="58"/>
      <c r="H35" s="59"/>
      <c r="I35" s="59"/>
      <c r="J35" s="59">
        <f>($C35*($AX$29+$AX$30))/$AX14</f>
        <v>8.3632019115890088</v>
      </c>
      <c r="K35" s="59">
        <f>($C35*($AX$29+$AX$30))/$AX14</f>
        <v>8.3632019115890088</v>
      </c>
      <c r="L35" s="59">
        <f t="shared" si="34"/>
        <v>8.3632019115890088</v>
      </c>
      <c r="M35" s="59">
        <f t="shared" si="34"/>
        <v>8.3632019115890088</v>
      </c>
      <c r="N35" s="59">
        <f t="shared" si="34"/>
        <v>8.3632019115890088</v>
      </c>
      <c r="O35" s="59">
        <f t="shared" ref="O35:Q35" si="35">($C35*($AX$29+$AX$30))/$AX14</f>
        <v>8.3632019115890088</v>
      </c>
      <c r="P35" s="58">
        <f t="shared" si="35"/>
        <v>8.3632019115890088</v>
      </c>
      <c r="Q35" s="58">
        <f t="shared" si="35"/>
        <v>8.3632019115890088</v>
      </c>
      <c r="R35" s="58"/>
      <c r="S35" s="58"/>
      <c r="T35" s="58"/>
      <c r="U35" s="58"/>
      <c r="V35" s="90">
        <f t="shared" si="29"/>
        <v>2.3894862604540026</v>
      </c>
      <c r="W35" s="90">
        <f t="shared" si="30"/>
        <v>2.3894862604540026</v>
      </c>
      <c r="X35" s="57"/>
      <c r="Y35" s="57"/>
      <c r="Z35" s="57">
        <f t="shared" si="31"/>
        <v>9.5579450418160103</v>
      </c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67"/>
      <c r="AM35" s="57"/>
      <c r="AN35" s="57"/>
      <c r="AO35" s="57"/>
      <c r="AP35" s="57">
        <f>(C35*$AX$33)*0</f>
        <v>0</v>
      </c>
      <c r="AQ35" s="57"/>
      <c r="AR35" s="57"/>
      <c r="AT35" s="57">
        <f t="shared" si="22"/>
        <v>95.579450418160107</v>
      </c>
      <c r="AU35" s="65">
        <f t="shared" si="26"/>
        <v>0</v>
      </c>
      <c r="AW35" s="3" t="s">
        <v>58</v>
      </c>
      <c r="AX35" s="24">
        <v>0.1</v>
      </c>
      <c r="AY35" s="56">
        <f>SUM($C$36:$C$38)*AX35</f>
        <v>14.336917562724015</v>
      </c>
    </row>
    <row r="36" spans="1:51" x14ac:dyDescent="0.3">
      <c r="B36" s="39">
        <f>'Inputs for CF'!B16</f>
        <v>0</v>
      </c>
      <c r="C36" s="57">
        <f>'Inputs for CF'!K16</f>
        <v>0</v>
      </c>
      <c r="D36" s="57">
        <f t="shared" ref="D36:D37" si="36">C36*$AX$26</f>
        <v>0</v>
      </c>
      <c r="E36" s="57"/>
      <c r="F36" s="57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>
        <f t="shared" ref="Q36" si="37">(C36*$AX$32)</f>
        <v>0</v>
      </c>
      <c r="R36" s="58"/>
      <c r="S36" s="58"/>
      <c r="T36" s="58"/>
      <c r="U36" s="58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67"/>
      <c r="AM36" s="57"/>
      <c r="AN36" s="57"/>
      <c r="AO36" s="57"/>
      <c r="AP36" s="57"/>
      <c r="AQ36" s="57"/>
      <c r="AR36" s="57"/>
      <c r="AT36" s="57">
        <f t="shared" si="22"/>
        <v>0</v>
      </c>
      <c r="AU36" s="65">
        <f t="shared" si="26"/>
        <v>0</v>
      </c>
      <c r="AW36" s="4" t="s">
        <v>59</v>
      </c>
      <c r="AX36" s="24">
        <v>0.75</v>
      </c>
      <c r="AY36" s="56">
        <f>SUM($C$36:$C$38)*AX36</f>
        <v>107.52688172043011</v>
      </c>
    </row>
    <row r="37" spans="1:51" x14ac:dyDescent="0.3">
      <c r="A37" s="34">
        <v>0.19</v>
      </c>
      <c r="B37" s="39" t="str">
        <f>'Inputs for CF'!B17</f>
        <v>Erection</v>
      </c>
      <c r="C37" s="57">
        <f>'Inputs for CF'!K17</f>
        <v>11.947431302270012</v>
      </c>
      <c r="D37" s="57">
        <f t="shared" si="36"/>
        <v>0</v>
      </c>
      <c r="E37" s="57"/>
      <c r="F37" s="57"/>
      <c r="G37" s="96"/>
      <c r="H37" s="96"/>
      <c r="I37" s="97"/>
      <c r="J37" s="98"/>
      <c r="K37" s="98">
        <f>J16*(1+$A$37)*85%</f>
        <v>0.50574999999999992</v>
      </c>
      <c r="L37" s="98">
        <f t="shared" ref="L37:U37" si="38">K16*(1+$A$37)*85%</f>
        <v>0.50574999999999992</v>
      </c>
      <c r="M37" s="98">
        <f t="shared" si="38"/>
        <v>0.91034999999999988</v>
      </c>
      <c r="N37" s="98">
        <f t="shared" si="38"/>
        <v>1.4161000000000001</v>
      </c>
      <c r="O37" s="98">
        <f t="shared" si="38"/>
        <v>1.4161000000000001</v>
      </c>
      <c r="P37" s="98">
        <f t="shared" si="38"/>
        <v>1.4161000000000001</v>
      </c>
      <c r="Q37" s="98">
        <f t="shared" si="38"/>
        <v>0.91034999999999988</v>
      </c>
      <c r="R37" s="98">
        <f t="shared" si="38"/>
        <v>1.0114999999999998</v>
      </c>
      <c r="S37" s="98">
        <f t="shared" si="38"/>
        <v>0.80919999999999992</v>
      </c>
      <c r="T37" s="58">
        <f t="shared" si="38"/>
        <v>0.50574999999999992</v>
      </c>
      <c r="U37" s="58">
        <f t="shared" si="38"/>
        <v>0.50574999999999992</v>
      </c>
      <c r="V37" s="102">
        <f>U16*(1+$A$37)*85%</f>
        <v>0.20229999999999998</v>
      </c>
      <c r="W37" s="57">
        <f>V16*(1+$A$37)*85%+($C37*2.5%)</f>
        <v>0.29868578255675032</v>
      </c>
      <c r="X37" s="57">
        <f>W16*(1+$A$37)*85%+($C37*2.5%)</f>
        <v>0.29868578255675032</v>
      </c>
      <c r="Y37" s="57">
        <f>X16*(1+$A$37)*85%</f>
        <v>0</v>
      </c>
      <c r="Z37" s="57">
        <f>$C37*10%</f>
        <v>1.1947431302270013</v>
      </c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67"/>
      <c r="AM37" s="57"/>
      <c r="AN37" s="57"/>
      <c r="AO37" s="57"/>
      <c r="AP37" s="57"/>
      <c r="AQ37" s="57"/>
      <c r="AR37" s="57"/>
      <c r="AT37" s="57">
        <f t="shared" ref="AT37:AT42" si="39">SUM(D37:AC37)</f>
        <v>11.9071146953405</v>
      </c>
      <c r="AU37" s="56">
        <f t="shared" si="23"/>
        <v>-4.0316606929511778E-2</v>
      </c>
      <c r="AW37" s="3" t="s">
        <v>101</v>
      </c>
      <c r="AX37" s="41">
        <v>2.5000000000000001E-2</v>
      </c>
      <c r="AY37" s="56">
        <f>SUM($C$36:$C$38)*AX37</f>
        <v>3.5842293906810037</v>
      </c>
    </row>
    <row r="38" spans="1:51" x14ac:dyDescent="0.3">
      <c r="A38" s="34">
        <f>A37</f>
        <v>0.19</v>
      </c>
      <c r="B38" s="39" t="str">
        <f>'Inputs for CF'!B18</f>
        <v>Civil</v>
      </c>
      <c r="C38" s="57">
        <f>'Inputs for CF'!K18</f>
        <v>131.42174432497012</v>
      </c>
      <c r="D38" s="57"/>
      <c r="E38" s="57"/>
      <c r="F38" s="57"/>
      <c r="G38" s="97"/>
      <c r="H38" s="98"/>
      <c r="I38" s="98">
        <f>H17*(1+$A$37)*85%</f>
        <v>2.2252999999999998</v>
      </c>
      <c r="J38" s="98">
        <f t="shared" ref="J38:V38" si="40">I17*(1+$A$37)*85%</f>
        <v>6.6758999999999995</v>
      </c>
      <c r="K38" s="98">
        <f t="shared" si="40"/>
        <v>8.9011999999999993</v>
      </c>
      <c r="L38" s="98">
        <f t="shared" si="40"/>
        <v>13.351799999999999</v>
      </c>
      <c r="M38" s="98">
        <f t="shared" si="40"/>
        <v>14.464449999999999</v>
      </c>
      <c r="N38" s="98">
        <f t="shared" si="40"/>
        <v>14.464449999999999</v>
      </c>
      <c r="O38" s="98">
        <f t="shared" si="40"/>
        <v>14.464449999999999</v>
      </c>
      <c r="P38" s="98">
        <f t="shared" si="40"/>
        <v>10.01385</v>
      </c>
      <c r="Q38" s="98">
        <f t="shared" si="40"/>
        <v>10.01385</v>
      </c>
      <c r="R38" s="98">
        <f t="shared" si="40"/>
        <v>5.56325</v>
      </c>
      <c r="S38" s="98">
        <f t="shared" si="40"/>
        <v>5.56325</v>
      </c>
      <c r="T38" s="58">
        <f t="shared" si="40"/>
        <v>2.2252999999999998</v>
      </c>
      <c r="U38" s="58">
        <f t="shared" si="40"/>
        <v>2.2252999999999998</v>
      </c>
      <c r="V38" s="102">
        <f t="shared" si="40"/>
        <v>1.1126499999999999</v>
      </c>
      <c r="W38" s="57">
        <f>V17*(1+$A$37)*85%+($C38*2.5%)</f>
        <v>3.2855436081242533</v>
      </c>
      <c r="X38" s="57">
        <f>W17*(1+$A$37)*85%+($C38*2.5%)</f>
        <v>3.2855436081242533</v>
      </c>
      <c r="Y38" s="57"/>
      <c r="Z38" s="57">
        <f>$C38*10%</f>
        <v>13.142174432497013</v>
      </c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67"/>
      <c r="AM38" s="57"/>
      <c r="AN38" s="57"/>
      <c r="AO38" s="57"/>
      <c r="AP38" s="57"/>
      <c r="AQ38" s="57"/>
      <c r="AR38" s="57"/>
      <c r="AT38" s="57">
        <f t="shared" si="39"/>
        <v>130.97826164874553</v>
      </c>
      <c r="AU38" s="56">
        <f t="shared" ref="AU38" si="41">AT38-C38</f>
        <v>-0.44348267622459048</v>
      </c>
      <c r="AW38" s="3" t="s">
        <v>102</v>
      </c>
      <c r="AX38" s="41">
        <v>2.5000000000000001E-2</v>
      </c>
      <c r="AY38" s="56">
        <f>SUM($C$36:$C$38)*AX38</f>
        <v>3.5842293906810037</v>
      </c>
    </row>
    <row r="39" spans="1:51" x14ac:dyDescent="0.3">
      <c r="B39" s="39" t="str">
        <f>'Inputs for CF'!B19</f>
        <v>Power Evacuation</v>
      </c>
      <c r="C39" s="57">
        <f>'Inputs for CF'!K19</f>
        <v>0</v>
      </c>
      <c r="D39" s="57">
        <f>C39*$AX$28</f>
        <v>0</v>
      </c>
      <c r="E39" s="57"/>
      <c r="F39" s="57"/>
      <c r="G39" s="96"/>
      <c r="H39" s="96"/>
      <c r="I39" s="96"/>
      <c r="J39" s="96"/>
      <c r="K39" s="96"/>
      <c r="L39" s="96"/>
      <c r="M39" s="96"/>
      <c r="N39" s="96">
        <f t="shared" ref="N39:T39" si="42">($C39*($AX$29+$AX$30))/$AX18</f>
        <v>0</v>
      </c>
      <c r="O39" s="96">
        <f t="shared" si="42"/>
        <v>0</v>
      </c>
      <c r="P39" s="96">
        <f t="shared" si="42"/>
        <v>0</v>
      </c>
      <c r="Q39" s="96">
        <f t="shared" si="42"/>
        <v>0</v>
      </c>
      <c r="R39" s="96">
        <f t="shared" si="42"/>
        <v>0</v>
      </c>
      <c r="S39" s="96">
        <f t="shared" si="42"/>
        <v>0</v>
      </c>
      <c r="T39" s="96">
        <f t="shared" si="42"/>
        <v>0</v>
      </c>
      <c r="U39" s="96"/>
      <c r="V39" s="90">
        <f t="shared" ref="V39" si="43">($C39*$AX$31)</f>
        <v>0</v>
      </c>
      <c r="W39" s="90">
        <f t="shared" ref="W39" si="44">($C39*$AX$32)</f>
        <v>0</v>
      </c>
      <c r="X39" s="57"/>
      <c r="Y39" s="57"/>
      <c r="Z39" s="57">
        <f t="shared" ref="Z39" si="45">($C39*$AX$33)</f>
        <v>0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67"/>
      <c r="AM39" s="57"/>
      <c r="AN39" s="57"/>
      <c r="AO39" s="57"/>
      <c r="AP39" s="57">
        <f>(C39*$AX$33)*0</f>
        <v>0</v>
      </c>
      <c r="AQ39" s="57"/>
      <c r="AR39" s="57"/>
      <c r="AT39" s="57">
        <f t="shared" si="39"/>
        <v>0</v>
      </c>
      <c r="AU39" s="65">
        <f>AT39-(C39*100%)</f>
        <v>0</v>
      </c>
      <c r="AW39" s="3" t="s">
        <v>103</v>
      </c>
      <c r="AX39" s="41">
        <v>0.1</v>
      </c>
      <c r="AY39" s="56">
        <f>SUM($C$36:$C$38)*AX39</f>
        <v>14.336917562724015</v>
      </c>
    </row>
    <row r="40" spans="1:51" x14ac:dyDescent="0.3">
      <c r="B40" s="39" t="s">
        <v>61</v>
      </c>
      <c r="C40" s="57"/>
      <c r="D40" s="57"/>
      <c r="E40" s="57"/>
      <c r="F40" s="57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67"/>
      <c r="AM40" s="57"/>
      <c r="AN40" s="57"/>
      <c r="AO40" s="57"/>
      <c r="AP40" s="57"/>
      <c r="AQ40" s="57"/>
      <c r="AR40" s="57"/>
      <c r="AT40" s="57">
        <f t="shared" si="39"/>
        <v>0</v>
      </c>
      <c r="AU40" s="65">
        <f>AT40-(C40*100%)</f>
        <v>0</v>
      </c>
      <c r="AW40" s="3"/>
      <c r="AX40" s="28"/>
      <c r="AY40" s="3"/>
    </row>
    <row r="41" spans="1:51" x14ac:dyDescent="0.3">
      <c r="B41" s="39" t="str">
        <f>'Inputs for CF'!B20</f>
        <v>Mandatory Spares &amp; Freight</v>
      </c>
      <c r="C41" s="57">
        <f>'Inputs for CF'!K20</f>
        <v>0</v>
      </c>
      <c r="D41" s="57"/>
      <c r="E41" s="57"/>
      <c r="F41" s="57"/>
      <c r="G41" s="57"/>
      <c r="H41" s="57"/>
      <c r="I41" s="57"/>
      <c r="J41" s="57"/>
      <c r="K41" s="96"/>
      <c r="L41" s="96"/>
      <c r="M41" s="96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67"/>
      <c r="AM41" s="57"/>
      <c r="AN41" s="57"/>
      <c r="AO41" s="57"/>
      <c r="AP41" s="57"/>
      <c r="AQ41" s="57"/>
      <c r="AR41" s="57"/>
      <c r="AT41" s="57">
        <f t="shared" si="39"/>
        <v>0</v>
      </c>
      <c r="AU41" s="65">
        <f>AT41-(C41*100%)</f>
        <v>0</v>
      </c>
      <c r="AW41" s="3"/>
      <c r="AX41" s="28"/>
      <c r="AY41" s="3"/>
    </row>
    <row r="42" spans="1:51" x14ac:dyDescent="0.3">
      <c r="B42" s="39" t="str">
        <f>'Inputs for CF'!B21</f>
        <v>IDC and R&amp;C</v>
      </c>
      <c r="C42" s="57">
        <f>'Inputs for CF'!K21</f>
        <v>0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67"/>
      <c r="AM42" s="57"/>
      <c r="AN42" s="57"/>
      <c r="AO42" s="57"/>
      <c r="AP42" s="57"/>
      <c r="AQ42" s="57"/>
      <c r="AR42" s="57"/>
      <c r="AT42" s="57">
        <f t="shared" si="39"/>
        <v>0</v>
      </c>
      <c r="AU42" s="16">
        <f t="shared" si="23"/>
        <v>0</v>
      </c>
      <c r="AW42" s="3"/>
      <c r="AX42" s="28"/>
      <c r="AY42" s="3"/>
    </row>
    <row r="43" spans="1:51" x14ac:dyDescent="0.3">
      <c r="B43" s="43" t="s">
        <v>44</v>
      </c>
      <c r="C43" s="63">
        <f t="shared" ref="C43:H43" si="46">SUM(C26:C42)</f>
        <v>1111.1111111111111</v>
      </c>
      <c r="D43" s="63">
        <f t="shared" si="46"/>
        <v>145.16129032258064</v>
      </c>
      <c r="E43" s="63">
        <f t="shared" si="46"/>
        <v>0</v>
      </c>
      <c r="F43" s="63">
        <f t="shared" si="46"/>
        <v>0</v>
      </c>
      <c r="G43" s="63">
        <f t="shared" si="46"/>
        <v>0</v>
      </c>
      <c r="H43" s="63">
        <f t="shared" si="46"/>
        <v>0</v>
      </c>
      <c r="I43" s="63">
        <f t="shared" ref="I43:AH43" si="47">SUM(I26:I42)</f>
        <v>2.2252999999999998</v>
      </c>
      <c r="J43" s="63">
        <f t="shared" si="47"/>
        <v>23.402303823178016</v>
      </c>
      <c r="K43" s="63">
        <f t="shared" si="47"/>
        <v>30.912326344086022</v>
      </c>
      <c r="L43" s="63">
        <f t="shared" si="47"/>
        <v>47.071409020310632</v>
      </c>
      <c r="M43" s="63">
        <f t="shared" si="47"/>
        <v>102.11315125448027</v>
      </c>
      <c r="N43" s="63">
        <f t="shared" si="47"/>
        <v>116.00002431302269</v>
      </c>
      <c r="O43" s="63">
        <f t="shared" si="47"/>
        <v>116.00002431302269</v>
      </c>
      <c r="P43" s="63">
        <f t="shared" si="47"/>
        <v>103.18622240143368</v>
      </c>
      <c r="Q43" s="63">
        <f t="shared" si="47"/>
        <v>90.97198972520907</v>
      </c>
      <c r="R43" s="63">
        <f t="shared" si="47"/>
        <v>73.480365292712051</v>
      </c>
      <c r="S43" s="63">
        <f t="shared" si="47"/>
        <v>73.278065292712057</v>
      </c>
      <c r="T43" s="63">
        <f t="shared" si="47"/>
        <v>12.76689229390681</v>
      </c>
      <c r="U43" s="63">
        <f t="shared" ref="U43:AC43" si="48">SUM(U26:U42)</f>
        <v>6.0763307646356033</v>
      </c>
      <c r="V43" s="63">
        <f t="shared" si="48"/>
        <v>25.508498387096768</v>
      </c>
      <c r="W43" s="63">
        <f t="shared" si="48"/>
        <v>27.777777777777771</v>
      </c>
      <c r="X43" s="63">
        <f t="shared" si="48"/>
        <v>3.5842293906810037</v>
      </c>
      <c r="Y43" s="63">
        <f t="shared" si="48"/>
        <v>0</v>
      </c>
      <c r="Z43" s="63">
        <f t="shared" si="48"/>
        <v>111.11111111111109</v>
      </c>
      <c r="AA43" s="63">
        <f t="shared" si="48"/>
        <v>0</v>
      </c>
      <c r="AB43" s="63">
        <f t="shared" si="48"/>
        <v>0</v>
      </c>
      <c r="AC43" s="63">
        <f t="shared" si="48"/>
        <v>0</v>
      </c>
      <c r="AD43" s="63">
        <f t="shared" si="47"/>
        <v>0</v>
      </c>
      <c r="AE43" s="63">
        <f t="shared" si="47"/>
        <v>0</v>
      </c>
      <c r="AF43" s="63">
        <f t="shared" si="47"/>
        <v>0</v>
      </c>
      <c r="AG43" s="63">
        <f t="shared" si="47"/>
        <v>0</v>
      </c>
      <c r="AH43" s="63">
        <f t="shared" si="47"/>
        <v>0</v>
      </c>
      <c r="AI43" s="63">
        <f t="shared" ref="AI43:AO43" si="49">SUM(AI26:AI42)</f>
        <v>0</v>
      </c>
      <c r="AJ43" s="63">
        <f t="shared" si="49"/>
        <v>0</v>
      </c>
      <c r="AK43" s="63">
        <f t="shared" si="49"/>
        <v>0</v>
      </c>
      <c r="AL43" s="63">
        <f t="shared" si="49"/>
        <v>0</v>
      </c>
      <c r="AM43" s="63">
        <f t="shared" si="49"/>
        <v>0</v>
      </c>
      <c r="AN43" s="63">
        <f t="shared" si="49"/>
        <v>0</v>
      </c>
      <c r="AO43" s="63">
        <f t="shared" si="49"/>
        <v>0</v>
      </c>
      <c r="AP43" s="63">
        <f t="shared" ref="AP43:AR43" si="50">SUM(AP26:AP42)</f>
        <v>0</v>
      </c>
      <c r="AQ43" s="63">
        <f t="shared" si="50"/>
        <v>0</v>
      </c>
      <c r="AR43" s="63">
        <f t="shared" si="50"/>
        <v>0</v>
      </c>
      <c r="AT43" s="64">
        <f t="shared" ref="AT43:AU43" si="51">SUM(AT26:AT42)</f>
        <v>1110.6273118279571</v>
      </c>
      <c r="AU43" s="44">
        <f t="shared" si="51"/>
        <v>-0.48379928315410226</v>
      </c>
      <c r="AW43" s="27" t="s">
        <v>8</v>
      </c>
      <c r="AX43" s="42">
        <f>SUM(AX26:AX42)</f>
        <v>2</v>
      </c>
      <c r="AY43" s="52">
        <f>SUM(AY28:AY42)</f>
        <v>1111.1111111111111</v>
      </c>
    </row>
    <row r="44" spans="1:51" x14ac:dyDescent="0.3">
      <c r="B44" s="36"/>
      <c r="C44" s="45"/>
      <c r="D44" s="46">
        <f>D47/$C$43</f>
        <v>0.13064516129032258</v>
      </c>
      <c r="E44" s="46">
        <f>E47/$C$43</f>
        <v>0.13064516129032258</v>
      </c>
      <c r="F44" s="46">
        <f>F47/$C$43</f>
        <v>0.13064516129032258</v>
      </c>
      <c r="G44" s="46">
        <f>G47/$C$43</f>
        <v>0.13064516129032258</v>
      </c>
      <c r="H44" s="46">
        <f>H47/$C$43</f>
        <v>0.13064516129032258</v>
      </c>
      <c r="I44" s="46">
        <f t="shared" ref="I44:AH44" si="52">I47/$C$43</f>
        <v>0.1326479312903226</v>
      </c>
      <c r="J44" s="46">
        <f t="shared" si="52"/>
        <v>0.15371000473118279</v>
      </c>
      <c r="K44" s="46">
        <f t="shared" si="52"/>
        <v>0.18153109844086021</v>
      </c>
      <c r="L44" s="46">
        <f t="shared" si="52"/>
        <v>0.22389536655913977</v>
      </c>
      <c r="M44" s="46">
        <f t="shared" si="52"/>
        <v>0.31579720268817202</v>
      </c>
      <c r="N44" s="46">
        <f t="shared" si="52"/>
        <v>0.42019722456989245</v>
      </c>
      <c r="O44" s="46">
        <f t="shared" si="52"/>
        <v>0.52459724645161276</v>
      </c>
      <c r="P44" s="46">
        <f t="shared" si="52"/>
        <v>0.61746484661290313</v>
      </c>
      <c r="Q44" s="46">
        <f t="shared" si="52"/>
        <v>0.69933963736559135</v>
      </c>
      <c r="R44" s="46">
        <f t="shared" si="52"/>
        <v>0.76547196612903212</v>
      </c>
      <c r="S44" s="46">
        <f t="shared" si="52"/>
        <v>0.83142222489247297</v>
      </c>
      <c r="T44" s="46">
        <f t="shared" si="52"/>
        <v>0.84291242795698917</v>
      </c>
      <c r="U44" s="46">
        <f t="shared" ref="U44:AC44" si="53">U47/$C$43</f>
        <v>0.84838112564516122</v>
      </c>
      <c r="V44" s="46">
        <f t="shared" si="53"/>
        <v>0.87133877419354833</v>
      </c>
      <c r="W44" s="46">
        <f t="shared" si="53"/>
        <v>0.89633877419354835</v>
      </c>
      <c r="X44" s="46">
        <f t="shared" si="53"/>
        <v>0.8995645806451612</v>
      </c>
      <c r="Y44" s="46">
        <f t="shared" si="53"/>
        <v>0.8995645806451612</v>
      </c>
      <c r="Z44" s="46">
        <f t="shared" si="53"/>
        <v>0.99956458064516118</v>
      </c>
      <c r="AA44" s="46">
        <f t="shared" si="53"/>
        <v>0.99956458064516118</v>
      </c>
      <c r="AB44" s="46">
        <f t="shared" si="53"/>
        <v>0.99956458064516118</v>
      </c>
      <c r="AC44" s="46">
        <f t="shared" si="53"/>
        <v>0.99956458064516118</v>
      </c>
      <c r="AD44" s="46">
        <f t="shared" si="52"/>
        <v>0.99956458064516118</v>
      </c>
      <c r="AE44" s="46">
        <f t="shared" si="52"/>
        <v>0.99956458064516118</v>
      </c>
      <c r="AF44" s="46">
        <f t="shared" si="52"/>
        <v>0.99956458064516118</v>
      </c>
      <c r="AG44" s="46">
        <f t="shared" si="52"/>
        <v>0.99956458064516118</v>
      </c>
      <c r="AH44" s="46">
        <f t="shared" si="52"/>
        <v>0.99956458064516118</v>
      </c>
      <c r="AI44" s="46">
        <f t="shared" ref="AI44:AO44" si="54">AI47/$C$43</f>
        <v>0.99956458064516118</v>
      </c>
      <c r="AJ44" s="46">
        <f t="shared" si="54"/>
        <v>0.99956458064516118</v>
      </c>
      <c r="AK44" s="46">
        <f t="shared" si="54"/>
        <v>0.99956458064516118</v>
      </c>
      <c r="AL44" s="46">
        <f t="shared" si="54"/>
        <v>0.99956458064516118</v>
      </c>
      <c r="AM44" s="46">
        <f t="shared" si="54"/>
        <v>0.99956458064516118</v>
      </c>
      <c r="AN44" s="46">
        <f t="shared" si="54"/>
        <v>0.99956458064516118</v>
      </c>
      <c r="AO44" s="46">
        <f t="shared" si="54"/>
        <v>0.99956458064516118</v>
      </c>
      <c r="AP44" s="46">
        <f t="shared" ref="AP44:AR44" si="55">AP47/$C$43</f>
        <v>0.99956458064516118</v>
      </c>
      <c r="AQ44" s="46">
        <f t="shared" si="55"/>
        <v>0.99956458064516118</v>
      </c>
      <c r="AR44" s="46">
        <f t="shared" si="55"/>
        <v>0.99956458064516118</v>
      </c>
      <c r="AW44" s="47"/>
      <c r="AX44" s="48"/>
    </row>
    <row r="45" spans="1:51" x14ac:dyDescent="0.3">
      <c r="C45" s="49"/>
      <c r="D45" s="50"/>
    </row>
    <row r="47" spans="1:51" x14ac:dyDescent="0.3">
      <c r="B47" s="43" t="s">
        <v>45</v>
      </c>
      <c r="C47" s="63">
        <f>C43</f>
        <v>1111.1111111111111</v>
      </c>
      <c r="D47" s="63">
        <f>D43</f>
        <v>145.16129032258064</v>
      </c>
      <c r="E47" s="63">
        <f>D47+E43</f>
        <v>145.16129032258064</v>
      </c>
      <c r="F47" s="63">
        <f t="shared" ref="F47:AO47" si="56">E47+F43</f>
        <v>145.16129032258064</v>
      </c>
      <c r="G47" s="63">
        <f t="shared" si="56"/>
        <v>145.16129032258064</v>
      </c>
      <c r="H47" s="63">
        <f t="shared" si="56"/>
        <v>145.16129032258064</v>
      </c>
      <c r="I47" s="63">
        <f t="shared" ref="I47" si="57">H47+I43</f>
        <v>147.38659032258064</v>
      </c>
      <c r="J47" s="63">
        <f t="shared" ref="J47" si="58">I47+J43</f>
        <v>170.78889414575866</v>
      </c>
      <c r="K47" s="63">
        <f t="shared" ref="K47" si="59">J47+K43</f>
        <v>201.70122048984467</v>
      </c>
      <c r="L47" s="63">
        <f t="shared" ref="L47" si="60">K47+L43</f>
        <v>248.7726295101553</v>
      </c>
      <c r="M47" s="63">
        <f t="shared" ref="M47" si="61">L47+M43</f>
        <v>350.88578076463557</v>
      </c>
      <c r="N47" s="63">
        <f t="shared" ref="N47" si="62">M47+N43</f>
        <v>466.88580507765823</v>
      </c>
      <c r="O47" s="63">
        <f t="shared" ref="O47" si="63">N47+O43</f>
        <v>582.8858293906809</v>
      </c>
      <c r="P47" s="63">
        <f t="shared" ref="P47" si="64">O47+P43</f>
        <v>686.07205179211462</v>
      </c>
      <c r="Q47" s="63">
        <f t="shared" ref="Q47" si="65">P47+Q43</f>
        <v>777.04404151732365</v>
      </c>
      <c r="R47" s="63">
        <f t="shared" ref="R47" si="66">Q47+R43</f>
        <v>850.52440681003566</v>
      </c>
      <c r="S47" s="63">
        <f t="shared" ref="S47" si="67">R47+S43</f>
        <v>923.80247210274774</v>
      </c>
      <c r="T47" s="63">
        <f t="shared" ref="T47" si="68">S47+T43</f>
        <v>936.56936439665458</v>
      </c>
      <c r="U47" s="63">
        <f t="shared" ref="U47" si="69">T47+U43</f>
        <v>942.64569516129018</v>
      </c>
      <c r="V47" s="63">
        <f t="shared" ref="V47" si="70">U47+V43</f>
        <v>968.15419354838696</v>
      </c>
      <c r="W47" s="63">
        <f t="shared" ref="W47" si="71">V47+W43</f>
        <v>995.93197132616478</v>
      </c>
      <c r="X47" s="63">
        <f t="shared" ref="X47" si="72">W47+X43</f>
        <v>999.51620071684579</v>
      </c>
      <c r="Y47" s="63">
        <f t="shared" ref="Y47" si="73">X47+Y43</f>
        <v>999.51620071684579</v>
      </c>
      <c r="Z47" s="63">
        <f t="shared" ref="Z47" si="74">Y47+Z43</f>
        <v>1110.6273118279569</v>
      </c>
      <c r="AA47" s="63">
        <f t="shared" ref="AA47" si="75">Z47+AA43</f>
        <v>1110.6273118279569</v>
      </c>
      <c r="AB47" s="63">
        <f t="shared" ref="AB47" si="76">AA47+AB43</f>
        <v>1110.6273118279569</v>
      </c>
      <c r="AC47" s="63">
        <f t="shared" ref="AC47" si="77">AB47+AC43</f>
        <v>1110.6273118279569</v>
      </c>
      <c r="AD47" s="63">
        <f t="shared" ref="AD47" si="78">AC47+AD43</f>
        <v>1110.6273118279569</v>
      </c>
      <c r="AE47" s="63">
        <f t="shared" ref="AE47" si="79">AD47+AE43</f>
        <v>1110.6273118279569</v>
      </c>
      <c r="AF47" s="63">
        <f t="shared" ref="AF47" si="80">AE47+AF43</f>
        <v>1110.6273118279569</v>
      </c>
      <c r="AG47" s="63">
        <f t="shared" ref="AG47" si="81">AF47+AG43</f>
        <v>1110.6273118279569</v>
      </c>
      <c r="AH47" s="63">
        <f t="shared" ref="AH47" si="82">AG47+AH43</f>
        <v>1110.6273118279569</v>
      </c>
      <c r="AI47" s="63">
        <f t="shared" ref="AI47" si="83">AH47+AI43</f>
        <v>1110.6273118279569</v>
      </c>
      <c r="AJ47" s="63">
        <f t="shared" si="56"/>
        <v>1110.6273118279569</v>
      </c>
      <c r="AK47" s="63">
        <f t="shared" si="56"/>
        <v>1110.6273118279569</v>
      </c>
      <c r="AL47" s="63">
        <f t="shared" si="56"/>
        <v>1110.6273118279569</v>
      </c>
      <c r="AM47" s="63">
        <f t="shared" si="56"/>
        <v>1110.6273118279569</v>
      </c>
      <c r="AN47" s="63">
        <f t="shared" si="56"/>
        <v>1110.6273118279569</v>
      </c>
      <c r="AO47" s="63">
        <f t="shared" si="56"/>
        <v>1110.6273118279569</v>
      </c>
      <c r="AP47" s="63">
        <f t="shared" ref="AP47" si="84">AO47+AP43</f>
        <v>1110.6273118279569</v>
      </c>
      <c r="AQ47" s="63">
        <f t="shared" ref="AQ47" si="85">AP47+AQ43</f>
        <v>1110.6273118279569</v>
      </c>
      <c r="AR47" s="63">
        <f t="shared" ref="AR47" si="86">AQ47+AR43</f>
        <v>1110.6273118279569</v>
      </c>
    </row>
    <row r="48" spans="1:51" x14ac:dyDescent="0.3">
      <c r="B48" s="30" t="s">
        <v>46</v>
      </c>
      <c r="C48" s="54">
        <f>C21</f>
        <v>1000</v>
      </c>
      <c r="D48" s="54">
        <f>D21</f>
        <v>0.70000000000000007</v>
      </c>
      <c r="E48" s="54">
        <f>D48+E21</f>
        <v>1.4000000000000001</v>
      </c>
      <c r="F48" s="54">
        <f t="shared" ref="F48" si="87">E48+F21</f>
        <v>2.1</v>
      </c>
      <c r="G48" s="54">
        <f t="shared" ref="G48" si="88">F48+G21</f>
        <v>3.5</v>
      </c>
      <c r="H48" s="54">
        <f t="shared" ref="H48" si="89">G48+H21</f>
        <v>7.8000000000000007</v>
      </c>
      <c r="I48" s="54">
        <f t="shared" ref="I48" si="90">H48+I21</f>
        <v>47.900000000000006</v>
      </c>
      <c r="J48" s="54">
        <f t="shared" ref="J48" si="91">I48+J21</f>
        <v>82.100000000000009</v>
      </c>
      <c r="K48" s="54">
        <f t="shared" ref="K48" si="92">J48+K21</f>
        <v>140.70000000000002</v>
      </c>
      <c r="L48" s="54">
        <f t="shared" ref="L48" si="93">K48+L21</f>
        <v>219.84761904761908</v>
      </c>
      <c r="M48" s="54">
        <f t="shared" ref="M48" si="94">L48+M21</f>
        <v>300.51190476190482</v>
      </c>
      <c r="N48" s="54">
        <f t="shared" ref="N48" si="95">M48+N21</f>
        <v>394.5095238095239</v>
      </c>
      <c r="O48" s="54">
        <f t="shared" ref="O48" si="96">N48+O21</f>
        <v>451.82380952380959</v>
      </c>
      <c r="P48" s="54">
        <f t="shared" ref="P48" si="97">O48+P21</f>
        <v>531.97142857142865</v>
      </c>
      <c r="Q48" s="54">
        <f t="shared" ref="Q48" si="98">P48+Q21</f>
        <v>610.20000000000005</v>
      </c>
      <c r="R48" s="54">
        <f t="shared" ref="R48" si="99">Q48+R21</f>
        <v>685.30714285714294</v>
      </c>
      <c r="S48" s="54">
        <f t="shared" ref="S48" si="100">R48+S21</f>
        <v>750.05000000000007</v>
      </c>
      <c r="T48" s="54">
        <f t="shared" ref="T48" si="101">S48+T21</f>
        <v>811.2928571428572</v>
      </c>
      <c r="U48" s="54">
        <f t="shared" ref="U48" si="102">T48+U21</f>
        <v>871.13571428571436</v>
      </c>
      <c r="V48" s="54">
        <f t="shared" ref="V48" si="103">U48+V21</f>
        <v>930.02857142857147</v>
      </c>
      <c r="W48" s="54">
        <f t="shared" ref="W48" si="104">V48+W21</f>
        <v>988.57142857142867</v>
      </c>
      <c r="X48" s="54">
        <f t="shared" ref="X48" si="105">W48+X21</f>
        <v>997.14285714285722</v>
      </c>
      <c r="Y48" s="54">
        <f t="shared" ref="Y48" si="106">X48+Y21</f>
        <v>1000.0000000000001</v>
      </c>
      <c r="Z48" s="54">
        <f t="shared" ref="Z48" si="107">Y48+Z21</f>
        <v>1000.0000000000001</v>
      </c>
      <c r="AA48" s="54">
        <f t="shared" ref="AA48" si="108">Z48+AA21</f>
        <v>1000.0000000000001</v>
      </c>
      <c r="AB48" s="54">
        <f t="shared" ref="AB48" si="109">AA48+AB21</f>
        <v>1000.0000000000001</v>
      </c>
      <c r="AC48" s="54">
        <f t="shared" ref="AC48" si="110">AB48+AC21</f>
        <v>1000.0000000000001</v>
      </c>
      <c r="AD48" s="54">
        <f t="shared" ref="AD48" si="111">AC48+AD21</f>
        <v>1000.0000000000001</v>
      </c>
      <c r="AE48" s="54">
        <f t="shared" ref="AE48" si="112">AD48+AE21</f>
        <v>1000.0000000000001</v>
      </c>
      <c r="AF48" s="54">
        <f t="shared" ref="AF48" si="113">AE48+AF21</f>
        <v>1000.0000000000001</v>
      </c>
      <c r="AG48" s="54">
        <f t="shared" ref="AG48" si="114">AF48+AG21</f>
        <v>1000.0000000000001</v>
      </c>
      <c r="AH48" s="54">
        <f t="shared" ref="AH48" si="115">AG48+AH21</f>
        <v>1000.0000000000001</v>
      </c>
      <c r="AI48" s="54">
        <f t="shared" ref="AI48" si="116">AH48+AI21</f>
        <v>1000.0000000000001</v>
      </c>
      <c r="AJ48" s="54">
        <f t="shared" ref="AJ48" si="117">AI48+AJ21</f>
        <v>1000.0000000000001</v>
      </c>
      <c r="AK48" s="54">
        <f t="shared" ref="AK48" si="118">AJ48+AK21</f>
        <v>1000.0000000000001</v>
      </c>
      <c r="AL48" s="54">
        <f t="shared" ref="AL48" si="119">AK48+AL21</f>
        <v>1000.0000000000001</v>
      </c>
      <c r="AM48" s="54">
        <f t="shared" ref="AM48" si="120">AL48+AM21</f>
        <v>1000.0000000000001</v>
      </c>
      <c r="AN48" s="54">
        <f t="shared" ref="AN48" si="121">AM48+AN21</f>
        <v>1000.0000000000001</v>
      </c>
      <c r="AO48" s="54">
        <f t="shared" ref="AO48" si="122">AN48+AO21</f>
        <v>1000.0000000000001</v>
      </c>
      <c r="AP48" s="54">
        <f t="shared" ref="AP48" si="123">AO48+AP21</f>
        <v>1000.0000000000001</v>
      </c>
      <c r="AQ48" s="54">
        <f t="shared" ref="AQ48" si="124">AP48+AQ21</f>
        <v>1000.0000000000001</v>
      </c>
      <c r="AR48" s="54">
        <f t="shared" ref="AR48" si="125">AQ48+AR21</f>
        <v>1000.0000000000001</v>
      </c>
    </row>
    <row r="49" spans="2:44" x14ac:dyDescent="0.3">
      <c r="B49" s="7" t="s">
        <v>47</v>
      </c>
      <c r="C49" s="51">
        <f>C47-C48</f>
        <v>111.11111111111109</v>
      </c>
      <c r="D49" s="51">
        <f>D47-D48</f>
        <v>144.46129032258065</v>
      </c>
      <c r="E49" s="51">
        <f t="shared" ref="E49:AR49" si="126">E47-E48</f>
        <v>143.76129032258063</v>
      </c>
      <c r="F49" s="51">
        <f t="shared" si="126"/>
        <v>143.06129032258065</v>
      </c>
      <c r="G49" s="51">
        <f t="shared" si="126"/>
        <v>141.66129032258064</v>
      </c>
      <c r="H49" s="51">
        <f t="shared" si="126"/>
        <v>137.36129032258063</v>
      </c>
      <c r="I49" s="51">
        <f t="shared" si="126"/>
        <v>99.486590322580639</v>
      </c>
      <c r="J49" s="51">
        <f t="shared" si="126"/>
        <v>88.688894145758653</v>
      </c>
      <c r="K49" s="51">
        <f t="shared" si="126"/>
        <v>61.001220489844656</v>
      </c>
      <c r="L49" s="51">
        <f t="shared" si="126"/>
        <v>28.925010462536221</v>
      </c>
      <c r="M49" s="51">
        <f t="shared" si="126"/>
        <v>50.373876002730753</v>
      </c>
      <c r="N49" s="51">
        <f t="shared" si="126"/>
        <v>72.376281268134335</v>
      </c>
      <c r="O49" s="51">
        <f t="shared" si="126"/>
        <v>131.06201986687131</v>
      </c>
      <c r="P49" s="51">
        <f t="shared" si="126"/>
        <v>154.10062322068597</v>
      </c>
      <c r="Q49" s="51">
        <f t="shared" si="126"/>
        <v>166.8440415173236</v>
      </c>
      <c r="R49" s="51">
        <f t="shared" si="126"/>
        <v>165.21726395289272</v>
      </c>
      <c r="S49" s="51">
        <f t="shared" si="126"/>
        <v>173.75247210274767</v>
      </c>
      <c r="T49" s="51">
        <f t="shared" si="126"/>
        <v>125.27650725379738</v>
      </c>
      <c r="U49" s="51">
        <f t="shared" si="126"/>
        <v>71.50998087557582</v>
      </c>
      <c r="V49" s="51">
        <f t="shared" si="126"/>
        <v>38.125622119815489</v>
      </c>
      <c r="W49" s="51">
        <f t="shared" ref="W49:X49" si="127">W47-W48</f>
        <v>7.360542754736116</v>
      </c>
      <c r="X49" s="51">
        <f t="shared" si="127"/>
        <v>2.3733435739885635</v>
      </c>
      <c r="Y49" s="51">
        <f t="shared" ref="Y49:AC49" si="128">Y47-Y48</f>
        <v>-0.48379928315432608</v>
      </c>
      <c r="Z49" s="51">
        <f t="shared" si="128"/>
        <v>110.62731182795676</v>
      </c>
      <c r="AA49" s="51">
        <f t="shared" si="128"/>
        <v>110.62731182795676</v>
      </c>
      <c r="AB49" s="51">
        <f t="shared" si="128"/>
        <v>110.62731182795676</v>
      </c>
      <c r="AC49" s="51">
        <f t="shared" si="128"/>
        <v>110.62731182795676</v>
      </c>
      <c r="AD49" s="51">
        <f t="shared" si="126"/>
        <v>110.62731182795676</v>
      </c>
      <c r="AE49" s="51">
        <f t="shared" si="126"/>
        <v>110.62731182795676</v>
      </c>
      <c r="AF49" s="51">
        <f t="shared" si="126"/>
        <v>110.62731182795676</v>
      </c>
      <c r="AG49" s="51">
        <f t="shared" si="126"/>
        <v>110.62731182795676</v>
      </c>
      <c r="AH49" s="51">
        <f t="shared" si="126"/>
        <v>110.62731182795676</v>
      </c>
      <c r="AI49" s="51">
        <f t="shared" si="126"/>
        <v>110.62731182795676</v>
      </c>
      <c r="AJ49" s="51">
        <f t="shared" si="126"/>
        <v>110.62731182795676</v>
      </c>
      <c r="AK49" s="51">
        <f t="shared" si="126"/>
        <v>110.62731182795676</v>
      </c>
      <c r="AL49" s="51">
        <f t="shared" si="126"/>
        <v>110.62731182795676</v>
      </c>
      <c r="AM49" s="51">
        <f t="shared" si="126"/>
        <v>110.62731182795676</v>
      </c>
      <c r="AN49" s="51">
        <f t="shared" si="126"/>
        <v>110.62731182795676</v>
      </c>
      <c r="AO49" s="51">
        <f t="shared" si="126"/>
        <v>110.62731182795676</v>
      </c>
      <c r="AP49" s="51">
        <f t="shared" si="126"/>
        <v>110.62731182795676</v>
      </c>
      <c r="AQ49" s="51">
        <f t="shared" si="126"/>
        <v>110.62731182795676</v>
      </c>
      <c r="AR49" s="51">
        <f t="shared" si="126"/>
        <v>110.62731182795676</v>
      </c>
    </row>
    <row r="50" spans="2:44" x14ac:dyDescent="0.3">
      <c r="O50" s="93">
        <f>IF(O49&lt;0,(O49/$C$43),0)</f>
        <v>0</v>
      </c>
      <c r="P50" s="93">
        <f>IF(P49&lt;0,(P49/$C$43),0)</f>
        <v>0</v>
      </c>
      <c r="Q50" s="93">
        <f>IF(Q49&lt;0,(Q49/$C$43),0)</f>
        <v>0</v>
      </c>
      <c r="R50" s="93">
        <f>IF(R49&lt;0,(R49/$C$43),0)</f>
        <v>0</v>
      </c>
      <c r="S50" s="93">
        <f>IF(S49&lt;0,(S49/$C$43),0)</f>
        <v>0</v>
      </c>
      <c r="T50" s="23"/>
      <c r="U50" s="23"/>
      <c r="V50" s="23"/>
      <c r="W50" s="23"/>
      <c r="X50" s="23"/>
      <c r="Y50" s="23"/>
      <c r="Z50" s="23"/>
      <c r="AA50" s="23"/>
      <c r="AB50" s="23"/>
    </row>
    <row r="52" spans="2:44" ht="15.6" hidden="1" x14ac:dyDescent="0.3">
      <c r="B52" s="83" t="s">
        <v>65</v>
      </c>
    </row>
    <row r="53" spans="2:44" hidden="1" x14ac:dyDescent="0.3">
      <c r="B53" s="3" t="str">
        <f>B28</f>
        <v>Cell Tolling - Module</v>
      </c>
      <c r="C53" s="92">
        <f t="shared" ref="C53:C61" si="129">SUM(D53:O53)</f>
        <v>267.62246117084823</v>
      </c>
      <c r="D53" s="3"/>
      <c r="E53" s="56">
        <f t="shared" ref="E53:E60" si="130">G28/($AX$29+$AX$30)</f>
        <v>0</v>
      </c>
      <c r="F53" s="56">
        <f t="shared" ref="F53:M60" si="131">H28/($AX$29+$AX$30)</f>
        <v>0</v>
      </c>
      <c r="G53" s="56">
        <f t="shared" si="131"/>
        <v>0</v>
      </c>
      <c r="H53" s="56">
        <f t="shared" si="131"/>
        <v>0</v>
      </c>
      <c r="I53" s="56">
        <f t="shared" si="131"/>
        <v>0</v>
      </c>
      <c r="J53" s="56">
        <f t="shared" si="131"/>
        <v>0</v>
      </c>
      <c r="K53" s="56">
        <f t="shared" si="131"/>
        <v>76.463560334528069</v>
      </c>
      <c r="L53" s="56">
        <f t="shared" si="131"/>
        <v>95.579450418160079</v>
      </c>
      <c r="M53" s="56">
        <f t="shared" si="131"/>
        <v>95.579450418160079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</row>
    <row r="54" spans="2:44" hidden="1" x14ac:dyDescent="0.3">
      <c r="B54" s="12" t="str">
        <f>B29</f>
        <v>Inverter</v>
      </c>
      <c r="C54" s="92">
        <f t="shared" si="129"/>
        <v>38.231780167264034</v>
      </c>
      <c r="D54" s="3"/>
      <c r="E54" s="56">
        <f t="shared" si="130"/>
        <v>0</v>
      </c>
      <c r="F54" s="56">
        <f t="shared" si="131"/>
        <v>0</v>
      </c>
      <c r="G54" s="56">
        <f t="shared" si="131"/>
        <v>0</v>
      </c>
      <c r="H54" s="56">
        <f t="shared" si="131"/>
        <v>0</v>
      </c>
      <c r="I54" s="56">
        <f t="shared" si="131"/>
        <v>0</v>
      </c>
      <c r="J54" s="56">
        <f t="shared" si="131"/>
        <v>9.5579450418160086</v>
      </c>
      <c r="K54" s="56">
        <f t="shared" si="131"/>
        <v>9.5579450418160086</v>
      </c>
      <c r="L54" s="56">
        <f t="shared" si="131"/>
        <v>9.5579450418160086</v>
      </c>
      <c r="M54" s="56">
        <f t="shared" si="131"/>
        <v>9.5579450418160086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</row>
    <row r="55" spans="2:44" hidden="1" x14ac:dyDescent="0.3">
      <c r="B55" s="12" t="str">
        <f t="shared" ref="B55:B60" si="132">B30</f>
        <v>MMS - Tracker</v>
      </c>
      <c r="C55" s="92">
        <f t="shared" si="129"/>
        <v>71.68458781362007</v>
      </c>
      <c r="D55" s="3"/>
      <c r="E55" s="56">
        <f t="shared" si="130"/>
        <v>0</v>
      </c>
      <c r="F55" s="56">
        <f t="shared" si="131"/>
        <v>0</v>
      </c>
      <c r="G55" s="56">
        <f t="shared" si="131"/>
        <v>0</v>
      </c>
      <c r="H55" s="56">
        <f t="shared" si="131"/>
        <v>11.947431302270012</v>
      </c>
      <c r="I55" s="56">
        <f t="shared" si="131"/>
        <v>11.947431302270012</v>
      </c>
      <c r="J55" s="56">
        <f t="shared" si="131"/>
        <v>11.947431302270012</v>
      </c>
      <c r="K55" s="56">
        <f t="shared" si="131"/>
        <v>11.947431302270012</v>
      </c>
      <c r="L55" s="56">
        <f t="shared" si="131"/>
        <v>11.947431302270012</v>
      </c>
      <c r="M55" s="56">
        <f t="shared" si="131"/>
        <v>11.947431302270012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</row>
    <row r="56" spans="2:44" hidden="1" x14ac:dyDescent="0.3">
      <c r="B56" s="12" t="str">
        <f t="shared" si="132"/>
        <v>Power Transformer</v>
      </c>
      <c r="C56" s="92">
        <f t="shared" si="129"/>
        <v>0</v>
      </c>
      <c r="D56" s="3"/>
      <c r="E56" s="56">
        <f t="shared" si="130"/>
        <v>0</v>
      </c>
      <c r="F56" s="56">
        <f t="shared" si="131"/>
        <v>0</v>
      </c>
      <c r="G56" s="56">
        <f t="shared" si="131"/>
        <v>0</v>
      </c>
      <c r="H56" s="56">
        <f t="shared" si="131"/>
        <v>0</v>
      </c>
      <c r="I56" s="56">
        <f t="shared" si="131"/>
        <v>0</v>
      </c>
      <c r="J56" s="56">
        <f t="shared" si="131"/>
        <v>0</v>
      </c>
      <c r="K56" s="56">
        <f t="shared" si="131"/>
        <v>0</v>
      </c>
      <c r="L56" s="56">
        <f t="shared" si="131"/>
        <v>0</v>
      </c>
      <c r="M56" s="56">
        <f t="shared" si="131"/>
        <v>0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</row>
    <row r="57" spans="2:44" hidden="1" x14ac:dyDescent="0.3">
      <c r="B57" s="12" t="str">
        <f t="shared" si="132"/>
        <v>Cables</v>
      </c>
      <c r="C57" s="92">
        <f t="shared" si="129"/>
        <v>34.135518006485754</v>
      </c>
      <c r="D57" s="3"/>
      <c r="E57" s="56">
        <f t="shared" si="130"/>
        <v>0</v>
      </c>
      <c r="F57" s="56">
        <f t="shared" si="131"/>
        <v>0</v>
      </c>
      <c r="G57" s="56">
        <f t="shared" si="131"/>
        <v>0</v>
      </c>
      <c r="H57" s="56">
        <f t="shared" si="131"/>
        <v>0</v>
      </c>
      <c r="I57" s="56">
        <f t="shared" si="131"/>
        <v>6.82710360129715</v>
      </c>
      <c r="J57" s="56">
        <f t="shared" si="131"/>
        <v>6.82710360129715</v>
      </c>
      <c r="K57" s="56">
        <f t="shared" si="131"/>
        <v>6.82710360129715</v>
      </c>
      <c r="L57" s="56">
        <f t="shared" si="131"/>
        <v>6.82710360129715</v>
      </c>
      <c r="M57" s="56">
        <f t="shared" si="131"/>
        <v>6.82710360129715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</row>
    <row r="58" spans="2:44" hidden="1" x14ac:dyDescent="0.3">
      <c r="B58" s="12" t="str">
        <f t="shared" si="132"/>
        <v>IDT</v>
      </c>
      <c r="C58" s="92">
        <f t="shared" si="129"/>
        <v>28.673835125448029</v>
      </c>
      <c r="D58" s="3"/>
      <c r="E58" s="56">
        <f t="shared" si="130"/>
        <v>0</v>
      </c>
      <c r="F58" s="56">
        <f t="shared" si="131"/>
        <v>0</v>
      </c>
      <c r="G58" s="56">
        <f t="shared" si="131"/>
        <v>0</v>
      </c>
      <c r="H58" s="56">
        <f t="shared" si="131"/>
        <v>0</v>
      </c>
      <c r="I58" s="56">
        <f t="shared" si="131"/>
        <v>0</v>
      </c>
      <c r="J58" s="56">
        <f t="shared" si="131"/>
        <v>7.1684587813620073</v>
      </c>
      <c r="K58" s="56">
        <f t="shared" si="131"/>
        <v>7.1684587813620073</v>
      </c>
      <c r="L58" s="56">
        <f t="shared" si="131"/>
        <v>7.1684587813620073</v>
      </c>
      <c r="M58" s="56">
        <f t="shared" si="131"/>
        <v>7.1684587813620073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</row>
    <row r="59" spans="2:44" hidden="1" x14ac:dyDescent="0.3">
      <c r="B59" s="12">
        <f t="shared" si="132"/>
        <v>0</v>
      </c>
      <c r="C59" s="92">
        <f t="shared" si="129"/>
        <v>0</v>
      </c>
      <c r="D59" s="3"/>
      <c r="E59" s="56">
        <f t="shared" si="130"/>
        <v>0</v>
      </c>
      <c r="F59" s="56">
        <f t="shared" si="131"/>
        <v>0</v>
      </c>
      <c r="G59" s="56">
        <f t="shared" si="131"/>
        <v>0</v>
      </c>
      <c r="H59" s="56">
        <f t="shared" si="131"/>
        <v>0</v>
      </c>
      <c r="I59" s="56">
        <f t="shared" si="131"/>
        <v>0</v>
      </c>
      <c r="J59" s="56">
        <f t="shared" si="131"/>
        <v>0</v>
      </c>
      <c r="K59" s="56">
        <f t="shared" si="131"/>
        <v>0</v>
      </c>
      <c r="L59" s="56">
        <f t="shared" si="131"/>
        <v>0</v>
      </c>
      <c r="M59" s="56">
        <f t="shared" si="131"/>
        <v>0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</row>
    <row r="60" spans="2:44" hidden="1" x14ac:dyDescent="0.3">
      <c r="B60" s="12" t="str">
        <f t="shared" si="132"/>
        <v>Other Supply</v>
      </c>
      <c r="C60" s="92">
        <f t="shared" si="129"/>
        <v>71.68458781362007</v>
      </c>
      <c r="D60" s="3"/>
      <c r="E60" s="56">
        <f t="shared" si="130"/>
        <v>0</v>
      </c>
      <c r="F60" s="56">
        <f t="shared" si="131"/>
        <v>0</v>
      </c>
      <c r="G60" s="56">
        <f t="shared" si="131"/>
        <v>0</v>
      </c>
      <c r="H60" s="56">
        <f t="shared" si="131"/>
        <v>11.947431302270012</v>
      </c>
      <c r="I60" s="56">
        <f t="shared" si="131"/>
        <v>11.947431302270012</v>
      </c>
      <c r="J60" s="56">
        <f t="shared" si="131"/>
        <v>11.947431302270012</v>
      </c>
      <c r="K60" s="56">
        <f t="shared" si="131"/>
        <v>11.947431302270012</v>
      </c>
      <c r="L60" s="56">
        <f t="shared" si="131"/>
        <v>11.947431302270012</v>
      </c>
      <c r="M60" s="56">
        <f t="shared" si="131"/>
        <v>11.947431302270012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</row>
    <row r="61" spans="2:44" hidden="1" x14ac:dyDescent="0.3">
      <c r="B61" s="12" t="str">
        <f>B39</f>
        <v>Power Evacuation</v>
      </c>
      <c r="C61" s="92">
        <f t="shared" si="129"/>
        <v>0</v>
      </c>
      <c r="D61" s="3"/>
      <c r="E61" s="56">
        <f t="shared" ref="E61:M61" si="133">G39/($AX$29+$AX$30)</f>
        <v>0</v>
      </c>
      <c r="F61" s="56">
        <f t="shared" si="133"/>
        <v>0</v>
      </c>
      <c r="G61" s="56">
        <f t="shared" si="133"/>
        <v>0</v>
      </c>
      <c r="H61" s="56">
        <f t="shared" si="133"/>
        <v>0</v>
      </c>
      <c r="I61" s="56">
        <f t="shared" si="133"/>
        <v>0</v>
      </c>
      <c r="J61" s="56">
        <f t="shared" si="133"/>
        <v>0</v>
      </c>
      <c r="K61" s="56">
        <f t="shared" si="133"/>
        <v>0</v>
      </c>
      <c r="L61" s="56">
        <f t="shared" si="133"/>
        <v>0</v>
      </c>
      <c r="M61" s="56">
        <f t="shared" si="133"/>
        <v>0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</row>
    <row r="62" spans="2:44" hidden="1" x14ac:dyDescent="0.3">
      <c r="B62" s="18" t="s">
        <v>5</v>
      </c>
      <c r="C62" s="18"/>
      <c r="D62" s="18"/>
      <c r="E62" s="84">
        <f>SUM(E53:E61)</f>
        <v>0</v>
      </c>
      <c r="F62" s="84">
        <f t="shared" ref="F62:Q62" si="134">SUM(F53:F61)</f>
        <v>0</v>
      </c>
      <c r="G62" s="84">
        <f t="shared" si="134"/>
        <v>0</v>
      </c>
      <c r="H62" s="84">
        <f t="shared" si="134"/>
        <v>23.894862604540023</v>
      </c>
      <c r="I62" s="84">
        <f t="shared" si="134"/>
        <v>30.721966205837173</v>
      </c>
      <c r="J62" s="85">
        <f t="shared" si="134"/>
        <v>47.448370029015187</v>
      </c>
      <c r="K62" s="85">
        <f t="shared" si="134"/>
        <v>123.91193036354326</v>
      </c>
      <c r="L62" s="85">
        <f t="shared" si="134"/>
        <v>143.02782044717529</v>
      </c>
      <c r="M62" s="85">
        <f t="shared" si="134"/>
        <v>143.02782044717529</v>
      </c>
      <c r="N62" s="85">
        <f t="shared" si="134"/>
        <v>0</v>
      </c>
      <c r="O62" s="85">
        <f t="shared" si="134"/>
        <v>0</v>
      </c>
      <c r="P62" s="85">
        <f t="shared" si="134"/>
        <v>0</v>
      </c>
      <c r="Q62" s="85">
        <f t="shared" si="134"/>
        <v>0</v>
      </c>
      <c r="R62" s="85">
        <f t="shared" ref="R62" si="135">SUM(R53:R61)</f>
        <v>0</v>
      </c>
      <c r="S62" s="85">
        <f t="shared" ref="S62" si="136">SUM(S53:S61)</f>
        <v>0</v>
      </c>
      <c r="T62" s="85">
        <f t="shared" ref="T62" si="137">SUM(T53:T61)</f>
        <v>0</v>
      </c>
      <c r="U62" s="85"/>
      <c r="V62" s="85"/>
      <c r="W62" s="85"/>
      <c r="X62" s="85"/>
      <c r="Y62" s="85"/>
      <c r="Z62" s="85"/>
      <c r="AA62" s="85"/>
      <c r="AB62" s="85"/>
      <c r="AC62" s="85">
        <f t="shared" ref="AC62" si="138">SUM(AC53:AC61)</f>
        <v>0</v>
      </c>
      <c r="AD62" s="85">
        <f t="shared" ref="AD62" si="139">SUM(AD53:AD61)</f>
        <v>0</v>
      </c>
      <c r="AE62" s="85">
        <f t="shared" ref="AE62" si="140">SUM(AE53:AE61)</f>
        <v>0</v>
      </c>
      <c r="AF62" s="85">
        <f t="shared" ref="AF62" si="141">SUM(AF53:AF61)</f>
        <v>0</v>
      </c>
      <c r="AG62" s="85">
        <f t="shared" ref="AG62" si="142">SUM(AG53:AG61)</f>
        <v>0</v>
      </c>
      <c r="AH62" s="85">
        <f t="shared" ref="AH62" si="143">SUM(AH53:AH61)</f>
        <v>0</v>
      </c>
      <c r="AI62" s="85">
        <f t="shared" ref="AI62" si="144">SUM(AI53:AI61)</f>
        <v>0</v>
      </c>
      <c r="AJ62" s="85">
        <f t="shared" ref="AJ62" si="145">SUM(AJ53:AJ61)</f>
        <v>0</v>
      </c>
      <c r="AK62" s="85">
        <f t="shared" ref="AK62" si="146">SUM(AK53:AK61)</f>
        <v>0</v>
      </c>
      <c r="AL62" s="85">
        <f t="shared" ref="AL62" si="147">SUM(AL53:AL61)</f>
        <v>0</v>
      </c>
    </row>
    <row r="63" spans="2:44" hidden="1" x14ac:dyDescent="0.3"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2:44" hidden="1" x14ac:dyDescent="0.3">
      <c r="B64" s="18" t="s">
        <v>66</v>
      </c>
      <c r="C64" s="3"/>
      <c r="D64" s="3"/>
      <c r="E64" s="87">
        <f>E62*15%</f>
        <v>0</v>
      </c>
      <c r="F64" s="87">
        <f t="shared" ref="F64:Q64" si="148">F62*15%</f>
        <v>0</v>
      </c>
      <c r="G64" s="87">
        <f t="shared" si="148"/>
        <v>0</v>
      </c>
      <c r="H64" s="87">
        <f t="shared" si="148"/>
        <v>3.5842293906810032</v>
      </c>
      <c r="I64" s="87">
        <f t="shared" si="148"/>
        <v>4.6082949308755756</v>
      </c>
      <c r="J64" s="88">
        <f t="shared" si="148"/>
        <v>7.1172555043522783</v>
      </c>
      <c r="K64" s="88">
        <f t="shared" si="148"/>
        <v>18.586789554531489</v>
      </c>
      <c r="L64" s="88">
        <f t="shared" si="148"/>
        <v>21.454173067076294</v>
      </c>
      <c r="M64" s="88">
        <f t="shared" si="148"/>
        <v>21.454173067076294</v>
      </c>
      <c r="N64" s="88">
        <f t="shared" si="148"/>
        <v>0</v>
      </c>
      <c r="O64" s="88">
        <f t="shared" si="148"/>
        <v>0</v>
      </c>
      <c r="P64" s="88">
        <f t="shared" si="148"/>
        <v>0</v>
      </c>
      <c r="Q64" s="88">
        <f t="shared" si="148"/>
        <v>0</v>
      </c>
      <c r="R64" s="86">
        <f>SUM(E64:Q64)</f>
        <v>76.804915514592935</v>
      </c>
    </row>
    <row r="65" spans="2:44" hidden="1" x14ac:dyDescent="0.3">
      <c r="E65" s="75">
        <f>E64/$D$43</f>
        <v>0</v>
      </c>
      <c r="F65" s="76">
        <f>SUM(E64:F64)/$D$43</f>
        <v>0</v>
      </c>
      <c r="G65" s="76">
        <f>SUM(E64:G64)/$D$43</f>
        <v>0</v>
      </c>
      <c r="H65" s="76">
        <f>SUM(E64:H64)/$D$43</f>
        <v>2.4691358024691357E-2</v>
      </c>
      <c r="I65" s="76">
        <f>SUM(E64:I64)/$D$43</f>
        <v>5.6437389770723101E-2</v>
      </c>
      <c r="J65" s="76">
        <f>SUM(E64:J64)/$D$43</f>
        <v>0.10546737213403881</v>
      </c>
      <c r="K65" s="76">
        <f>SUM(E64:K64)/$D$43</f>
        <v>0.23350970017636685</v>
      </c>
      <c r="L65" s="76">
        <f>SUM(E64:L64)/$D$43</f>
        <v>0.38130511463844796</v>
      </c>
      <c r="M65" s="76">
        <f>SUM(E64:M64)/$D$43</f>
        <v>0.52910052910052907</v>
      </c>
      <c r="N65" s="76">
        <f>SUM(E64:N64)/$D$43</f>
        <v>0.52910052910052907</v>
      </c>
      <c r="O65" s="76">
        <f>SUM(E64:O64)/$D$43</f>
        <v>0.52910052910052907</v>
      </c>
    </row>
    <row r="66" spans="2:44" hidden="1" x14ac:dyDescent="0.3">
      <c r="B66" s="6"/>
      <c r="E66" s="82"/>
      <c r="F66" s="82"/>
      <c r="G66" s="82"/>
      <c r="H66" s="82"/>
      <c r="I66" s="82"/>
      <c r="J66" s="89"/>
      <c r="K66" s="89"/>
      <c r="L66" s="89"/>
      <c r="M66" s="89"/>
      <c r="N66" s="89"/>
      <c r="O66" s="89"/>
      <c r="P66" s="89"/>
      <c r="Q66" s="89"/>
    </row>
    <row r="67" spans="2:44" hidden="1" x14ac:dyDescent="0.3">
      <c r="R67" s="86"/>
    </row>
    <row r="68" spans="2:44" hidden="1" x14ac:dyDescent="0.3"/>
    <row r="69" spans="2:44" hidden="1" x14ac:dyDescent="0.3">
      <c r="D69" s="75" t="s">
        <v>67</v>
      </c>
      <c r="E69" s="75" t="s">
        <v>68</v>
      </c>
      <c r="F69" s="75" t="s">
        <v>69</v>
      </c>
      <c r="G69" s="75" t="s">
        <v>70</v>
      </c>
      <c r="H69" s="75" t="s">
        <v>71</v>
      </c>
      <c r="I69" s="75" t="s">
        <v>72</v>
      </c>
      <c r="J69" s="75" t="s">
        <v>73</v>
      </c>
      <c r="K69" s="75" t="s">
        <v>74</v>
      </c>
      <c r="L69" s="75" t="s">
        <v>75</v>
      </c>
      <c r="M69" s="75" t="s">
        <v>76</v>
      </c>
      <c r="N69" s="75" t="s">
        <v>77</v>
      </c>
      <c r="O69" s="75" t="s">
        <v>78</v>
      </c>
      <c r="P69" s="75" t="s">
        <v>79</v>
      </c>
      <c r="Q69" s="75" t="s">
        <v>80</v>
      </c>
      <c r="R69" s="75" t="s">
        <v>81</v>
      </c>
      <c r="S69" s="75" t="s">
        <v>82</v>
      </c>
      <c r="T69" s="75" t="s">
        <v>83</v>
      </c>
      <c r="U69" s="75" t="s">
        <v>84</v>
      </c>
      <c r="V69" s="75" t="s">
        <v>85</v>
      </c>
      <c r="W69" s="75"/>
      <c r="X69" s="75"/>
      <c r="Y69" s="75"/>
      <c r="Z69" s="75"/>
      <c r="AA69" s="75"/>
      <c r="AB69" s="75"/>
      <c r="AC69" s="75" t="s">
        <v>86</v>
      </c>
      <c r="AD69" s="75" t="s">
        <v>85</v>
      </c>
      <c r="AE69" s="75" t="s">
        <v>86</v>
      </c>
      <c r="AF69" s="75" t="s">
        <v>87</v>
      </c>
      <c r="AG69" s="75" t="s">
        <v>88</v>
      </c>
      <c r="AH69" s="75" t="s">
        <v>89</v>
      </c>
      <c r="AI69" s="75" t="s">
        <v>90</v>
      </c>
      <c r="AJ69" s="75" t="s">
        <v>91</v>
      </c>
      <c r="AK69" s="75" t="s">
        <v>92</v>
      </c>
      <c r="AL69" s="75" t="s">
        <v>93</v>
      </c>
      <c r="AM69" s="75" t="s">
        <v>94</v>
      </c>
      <c r="AN69" s="75" t="s">
        <v>95</v>
      </c>
      <c r="AO69" s="75" t="s">
        <v>96</v>
      </c>
      <c r="AP69" s="75" t="s">
        <v>97</v>
      </c>
      <c r="AQ69" s="75" t="s">
        <v>98</v>
      </c>
      <c r="AR69" s="75" t="s">
        <v>99</v>
      </c>
    </row>
    <row r="70" spans="2:44" hidden="1" x14ac:dyDescent="0.3">
      <c r="C70" t="s">
        <v>45</v>
      </c>
      <c r="D70" s="5">
        <f>D47</f>
        <v>145.16129032258064</v>
      </c>
      <c r="E70" s="5">
        <f t="shared" ref="E70:AR72" si="149">E47</f>
        <v>145.16129032258064</v>
      </c>
      <c r="F70" s="5">
        <f t="shared" si="149"/>
        <v>145.16129032258064</v>
      </c>
      <c r="G70" s="5">
        <f t="shared" si="149"/>
        <v>145.16129032258064</v>
      </c>
      <c r="H70" s="5">
        <f t="shared" si="149"/>
        <v>145.16129032258064</v>
      </c>
      <c r="I70" s="5">
        <f t="shared" si="149"/>
        <v>147.38659032258064</v>
      </c>
      <c r="J70" s="5">
        <f t="shared" si="149"/>
        <v>170.78889414575866</v>
      </c>
      <c r="K70" s="5">
        <f t="shared" si="149"/>
        <v>201.70122048984467</v>
      </c>
      <c r="L70" s="5">
        <f t="shared" si="149"/>
        <v>248.7726295101553</v>
      </c>
      <c r="M70" s="5">
        <f t="shared" si="149"/>
        <v>350.88578076463557</v>
      </c>
      <c r="N70" s="5">
        <f t="shared" si="149"/>
        <v>466.88580507765823</v>
      </c>
      <c r="O70" s="5">
        <f t="shared" si="149"/>
        <v>582.8858293906809</v>
      </c>
      <c r="P70" s="5">
        <f t="shared" si="149"/>
        <v>686.07205179211462</v>
      </c>
      <c r="Q70" s="5">
        <f t="shared" si="149"/>
        <v>777.04404151732365</v>
      </c>
      <c r="R70" s="5">
        <f t="shared" si="149"/>
        <v>850.52440681003566</v>
      </c>
      <c r="S70" s="5">
        <f t="shared" si="149"/>
        <v>923.80247210274774</v>
      </c>
      <c r="T70" s="5">
        <f t="shared" si="149"/>
        <v>936.56936439665458</v>
      </c>
      <c r="U70" s="5">
        <f t="shared" ref="U70:V70" si="150">U47</f>
        <v>942.64569516129018</v>
      </c>
      <c r="V70" s="5">
        <f t="shared" si="150"/>
        <v>968.15419354838696</v>
      </c>
      <c r="W70" s="5"/>
      <c r="X70" s="5"/>
      <c r="Y70" s="5"/>
      <c r="Z70" s="5"/>
      <c r="AA70" s="5"/>
      <c r="AB70" s="5"/>
      <c r="AC70" s="5">
        <f t="shared" si="149"/>
        <v>1110.6273118279569</v>
      </c>
      <c r="AD70" s="5">
        <f t="shared" si="149"/>
        <v>1110.6273118279569</v>
      </c>
      <c r="AE70" s="5">
        <f t="shared" si="149"/>
        <v>1110.6273118279569</v>
      </c>
      <c r="AF70" s="5">
        <f t="shared" si="149"/>
        <v>1110.6273118279569</v>
      </c>
      <c r="AG70" s="5">
        <f t="shared" si="149"/>
        <v>1110.6273118279569</v>
      </c>
      <c r="AH70" s="5">
        <f t="shared" si="149"/>
        <v>1110.6273118279569</v>
      </c>
      <c r="AI70" s="5">
        <f t="shared" si="149"/>
        <v>1110.6273118279569</v>
      </c>
      <c r="AJ70" s="5">
        <f t="shared" si="149"/>
        <v>1110.6273118279569</v>
      </c>
      <c r="AK70" s="5">
        <f t="shared" si="149"/>
        <v>1110.6273118279569</v>
      </c>
      <c r="AL70" s="5">
        <f t="shared" si="149"/>
        <v>1110.6273118279569</v>
      </c>
      <c r="AM70" s="5">
        <f t="shared" si="149"/>
        <v>1110.6273118279569</v>
      </c>
      <c r="AN70" s="5">
        <f t="shared" si="149"/>
        <v>1110.6273118279569</v>
      </c>
      <c r="AO70" s="5">
        <f t="shared" si="149"/>
        <v>1110.6273118279569</v>
      </c>
      <c r="AP70" s="5">
        <f t="shared" si="149"/>
        <v>1110.6273118279569</v>
      </c>
      <c r="AQ70" s="5">
        <f t="shared" si="149"/>
        <v>1110.6273118279569</v>
      </c>
      <c r="AR70" s="5">
        <f t="shared" si="149"/>
        <v>1110.6273118279569</v>
      </c>
    </row>
    <row r="71" spans="2:44" hidden="1" x14ac:dyDescent="0.3">
      <c r="C71" t="s">
        <v>46</v>
      </c>
      <c r="D71" s="5">
        <f t="shared" ref="D71:S72" si="151">D48</f>
        <v>0.70000000000000007</v>
      </c>
      <c r="E71" s="5">
        <f t="shared" si="151"/>
        <v>1.4000000000000001</v>
      </c>
      <c r="F71" s="5">
        <f t="shared" si="151"/>
        <v>2.1</v>
      </c>
      <c r="G71" s="5">
        <f t="shared" si="151"/>
        <v>3.5</v>
      </c>
      <c r="H71" s="5">
        <f t="shared" si="151"/>
        <v>7.8000000000000007</v>
      </c>
      <c r="I71" s="5">
        <f t="shared" si="151"/>
        <v>47.900000000000006</v>
      </c>
      <c r="J71" s="5">
        <f t="shared" si="151"/>
        <v>82.100000000000009</v>
      </c>
      <c r="K71" s="5">
        <f t="shared" si="151"/>
        <v>140.70000000000002</v>
      </c>
      <c r="L71" s="5">
        <f t="shared" si="151"/>
        <v>219.84761904761908</v>
      </c>
      <c r="M71" s="5">
        <f t="shared" si="151"/>
        <v>300.51190476190482</v>
      </c>
      <c r="N71" s="5">
        <f t="shared" si="151"/>
        <v>394.5095238095239</v>
      </c>
      <c r="O71" s="5">
        <f t="shared" si="151"/>
        <v>451.82380952380959</v>
      </c>
      <c r="P71" s="5">
        <f t="shared" si="151"/>
        <v>531.97142857142865</v>
      </c>
      <c r="Q71" s="5">
        <f t="shared" si="151"/>
        <v>610.20000000000005</v>
      </c>
      <c r="R71" s="5">
        <f t="shared" si="151"/>
        <v>685.30714285714294</v>
      </c>
      <c r="S71" s="5">
        <f t="shared" si="151"/>
        <v>750.05000000000007</v>
      </c>
      <c r="T71" s="5">
        <f t="shared" si="149"/>
        <v>811.2928571428572</v>
      </c>
      <c r="U71" s="5">
        <f t="shared" ref="U71:V71" si="152">U48</f>
        <v>871.13571428571436</v>
      </c>
      <c r="V71" s="5">
        <f t="shared" si="152"/>
        <v>930.02857142857147</v>
      </c>
      <c r="W71" s="5"/>
      <c r="X71" s="5"/>
      <c r="Y71" s="5"/>
      <c r="Z71" s="5"/>
      <c r="AA71" s="5"/>
      <c r="AB71" s="5"/>
      <c r="AC71" s="5">
        <f t="shared" si="149"/>
        <v>1000.0000000000001</v>
      </c>
      <c r="AD71" s="5">
        <f t="shared" si="149"/>
        <v>1000.0000000000001</v>
      </c>
      <c r="AE71" s="5">
        <f t="shared" si="149"/>
        <v>1000.0000000000001</v>
      </c>
      <c r="AF71" s="5">
        <f t="shared" si="149"/>
        <v>1000.0000000000001</v>
      </c>
      <c r="AG71" s="5">
        <f t="shared" si="149"/>
        <v>1000.0000000000001</v>
      </c>
      <c r="AH71" s="5">
        <f t="shared" si="149"/>
        <v>1000.0000000000001</v>
      </c>
      <c r="AI71" s="5">
        <f t="shared" si="149"/>
        <v>1000.0000000000001</v>
      </c>
      <c r="AJ71" s="5">
        <f t="shared" si="149"/>
        <v>1000.0000000000001</v>
      </c>
      <c r="AK71" s="5">
        <f t="shared" si="149"/>
        <v>1000.0000000000001</v>
      </c>
      <c r="AL71" s="5">
        <f t="shared" si="149"/>
        <v>1000.0000000000001</v>
      </c>
      <c r="AM71" s="5">
        <f t="shared" si="149"/>
        <v>1000.0000000000001</v>
      </c>
      <c r="AN71" s="5">
        <f t="shared" si="149"/>
        <v>1000.0000000000001</v>
      </c>
      <c r="AO71" s="5">
        <f t="shared" si="149"/>
        <v>1000.0000000000001</v>
      </c>
      <c r="AP71" s="5">
        <f t="shared" si="149"/>
        <v>1000.0000000000001</v>
      </c>
      <c r="AQ71" s="5">
        <f t="shared" si="149"/>
        <v>1000.0000000000001</v>
      </c>
      <c r="AR71" s="5">
        <f t="shared" si="149"/>
        <v>1000.0000000000001</v>
      </c>
    </row>
    <row r="72" spans="2:44" hidden="1" x14ac:dyDescent="0.3">
      <c r="C72" t="s">
        <v>47</v>
      </c>
      <c r="D72" s="5">
        <f t="shared" si="151"/>
        <v>144.46129032258065</v>
      </c>
      <c r="E72" s="5">
        <f t="shared" si="149"/>
        <v>143.76129032258063</v>
      </c>
      <c r="F72" s="5">
        <f t="shared" si="149"/>
        <v>143.06129032258065</v>
      </c>
      <c r="G72" s="5">
        <f t="shared" si="149"/>
        <v>141.66129032258064</v>
      </c>
      <c r="H72" s="5">
        <f t="shared" si="149"/>
        <v>137.36129032258063</v>
      </c>
      <c r="I72" s="5">
        <f t="shared" si="149"/>
        <v>99.486590322580639</v>
      </c>
      <c r="J72" s="5">
        <f t="shared" si="149"/>
        <v>88.688894145758653</v>
      </c>
      <c r="K72" s="5">
        <f t="shared" si="149"/>
        <v>61.001220489844656</v>
      </c>
      <c r="L72" s="5">
        <f t="shared" si="149"/>
        <v>28.925010462536221</v>
      </c>
      <c r="M72" s="5">
        <f t="shared" si="149"/>
        <v>50.373876002730753</v>
      </c>
      <c r="N72" s="5">
        <f t="shared" si="149"/>
        <v>72.376281268134335</v>
      </c>
      <c r="O72" s="5">
        <f t="shared" si="149"/>
        <v>131.06201986687131</v>
      </c>
      <c r="P72" s="5">
        <f t="shared" si="149"/>
        <v>154.10062322068597</v>
      </c>
      <c r="Q72" s="5">
        <f t="shared" si="149"/>
        <v>166.8440415173236</v>
      </c>
      <c r="R72" s="5">
        <f t="shared" si="149"/>
        <v>165.21726395289272</v>
      </c>
      <c r="S72" s="5">
        <f t="shared" si="149"/>
        <v>173.75247210274767</v>
      </c>
      <c r="T72" s="5">
        <f t="shared" si="149"/>
        <v>125.27650725379738</v>
      </c>
      <c r="U72" s="5">
        <f t="shared" ref="U72:V72" si="153">U49</f>
        <v>71.50998087557582</v>
      </c>
      <c r="V72" s="5">
        <f t="shared" si="153"/>
        <v>38.125622119815489</v>
      </c>
      <c r="W72" s="5"/>
      <c r="X72" s="5"/>
      <c r="Y72" s="5"/>
      <c r="Z72" s="5"/>
      <c r="AA72" s="5"/>
      <c r="AB72" s="5"/>
      <c r="AC72" s="5">
        <f t="shared" si="149"/>
        <v>110.62731182795676</v>
      </c>
      <c r="AD72" s="5">
        <f t="shared" si="149"/>
        <v>110.62731182795676</v>
      </c>
      <c r="AE72" s="5">
        <f t="shared" si="149"/>
        <v>110.62731182795676</v>
      </c>
      <c r="AF72" s="5">
        <f t="shared" si="149"/>
        <v>110.62731182795676</v>
      </c>
      <c r="AG72" s="5">
        <f t="shared" si="149"/>
        <v>110.62731182795676</v>
      </c>
      <c r="AH72" s="5">
        <f t="shared" si="149"/>
        <v>110.62731182795676</v>
      </c>
      <c r="AI72" s="5">
        <f t="shared" si="149"/>
        <v>110.62731182795676</v>
      </c>
      <c r="AJ72" s="5">
        <f t="shared" si="149"/>
        <v>110.62731182795676</v>
      </c>
      <c r="AK72" s="5">
        <f t="shared" si="149"/>
        <v>110.62731182795676</v>
      </c>
      <c r="AL72" s="5">
        <f t="shared" si="149"/>
        <v>110.62731182795676</v>
      </c>
      <c r="AM72" s="5">
        <f t="shared" si="149"/>
        <v>110.62731182795676</v>
      </c>
      <c r="AN72" s="5">
        <f t="shared" si="149"/>
        <v>110.62731182795676</v>
      </c>
      <c r="AO72" s="5">
        <f t="shared" si="149"/>
        <v>110.62731182795676</v>
      </c>
      <c r="AP72" s="5">
        <f t="shared" si="149"/>
        <v>110.62731182795676</v>
      </c>
      <c r="AQ72" s="5">
        <f t="shared" si="149"/>
        <v>110.62731182795676</v>
      </c>
      <c r="AR72" s="5">
        <f t="shared" si="149"/>
        <v>110.62731182795676</v>
      </c>
    </row>
    <row r="73" spans="2:44" hidden="1" x14ac:dyDescent="0.3"/>
    <row r="74" spans="2:44" hidden="1" x14ac:dyDescent="0.3"/>
    <row r="75" spans="2:44" hidden="1" x14ac:dyDescent="0.3"/>
    <row r="76" spans="2:44" hidden="1" x14ac:dyDescent="0.3"/>
    <row r="77" spans="2:44" hidden="1" x14ac:dyDescent="0.3">
      <c r="C77" s="34">
        <f>'Inputs for CF'!I18/'Inputs for CF'!D18-1</f>
        <v>0.19474313022700107</v>
      </c>
    </row>
  </sheetData>
  <phoneticPr fontId="12" type="noConversion"/>
  <pageMargins left="0.7" right="0.7" top="0.75" bottom="0.75" header="0.3" footer="0.3"/>
  <pageSetup paperSize="9" orientation="portrait" r:id="rId1"/>
  <headerFooter>
    <oddFooter>&amp;L&amp;1#&amp;"Calibri"&amp;8&amp;K000000Sensitivity: LNT Construction Internal Use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 for CF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 Veerendranatha Reddy</dc:creator>
  <cp:lastModifiedBy>Darsh Jain</cp:lastModifiedBy>
  <cp:lastPrinted>2023-04-06T05:55:33Z</cp:lastPrinted>
  <dcterms:created xsi:type="dcterms:W3CDTF">2015-06-05T18:17:20Z</dcterms:created>
  <dcterms:modified xsi:type="dcterms:W3CDTF">2026-06-11T11:59:27Z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iteId">
    <vt:lpwstr>264b9899-fe1b-430b-9509-2154878d5774</vt:lpwstr>
  </property>
  <property fmtid="{D5CDD505-2E9C-101B-9397-08002B2CF9AE}" pid="4" name="MSIP_Label_ac52bb50-aef2-4dc8-bb7f-e0da22648362_Owner">
    <vt:lpwstr>kveeru@lntecc.com</vt:lpwstr>
  </property>
  <property fmtid="{D5CDD505-2E9C-101B-9397-08002B2CF9AE}" pid="5" name="MSIP_Label_ac52bb50-aef2-4dc8-bb7f-e0da22648362_SetDate">
    <vt:lpwstr>2023-03-06T11:21:11.2543461Z</vt:lpwstr>
  </property>
  <property fmtid="{D5CDD505-2E9C-101B-9397-08002B2CF9AE}" pid="6" name="MSIP_Label_ac52bb50-aef2-4dc8-bb7f-e0da22648362_Name">
    <vt:lpwstr>LTC Internal Use</vt:lpwstr>
  </property>
  <property fmtid="{D5CDD505-2E9C-101B-9397-08002B2CF9AE}" pid="7" name="MSIP_Label_ac52bb50-aef2-4dc8-bb7f-e0da22648362_Application">
    <vt:lpwstr>Microsoft Azure Information Protection</vt:lpwstr>
  </property>
  <property fmtid="{D5CDD505-2E9C-101B-9397-08002B2CF9AE}" pid="8" name="MSIP_Label_ac52bb50-aef2-4dc8-bb7f-e0da22648362_ActionId">
    <vt:lpwstr>756918be-3c13-413f-b84a-c6aa761c2f2f</vt:lpwstr>
  </property>
  <property fmtid="{D5CDD505-2E9C-101B-9397-08002B2CF9AE}" pid="9" name="MSIP_Label_ac52bb50-aef2-4dc8-bb7f-e0da22648362_Extended_MSFT_Method">
    <vt:lpwstr>Automatic</vt:lpwstr>
  </property>
  <property fmtid="{D5CDD505-2E9C-101B-9397-08002B2CF9AE}" pid="10" name="Sensitivity">
    <vt:lpwstr>LTC Internal Use</vt:lpwstr>
  </property>
</Properties>
</file>